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 Queue Tracker" sheetId="1" state="visible" r:id="rId3"/>
    <sheet name="Summary Dashboard" sheetId="2" state="visible" r:id="rId4"/>
    <sheet name="Renewal Bill Checker" sheetId="3" state="visible" r:id="rId5"/>
    <sheet name="Email Inbox Log" sheetId="4" state="visible" r:id="rId6"/>
    <sheet name="📋 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<sst xmlns="http://schemas.openxmlformats.org/spreadsheetml/2006/main" count="523" uniqueCount="267">
  <si>
    <t xml:space="preserve">CHUBB SURETY – BOND QUEUE OPERATIONS TRACKER</t>
  </si>
  <si>
    <t xml:space="preserve">Live Queue Management · Processing Dashboard · Deadline Monitoring</t>
  </si>
  <si>
    <t xml:space="preserve">Bond ID</t>
  </si>
  <si>
    <t xml:space="preserve">Request Date</t>
  </si>
  <si>
    <t xml:space="preserve">Due Date</t>
  </si>
  <si>
    <t xml:space="preserve">Days Remaining</t>
  </si>
  <si>
    <t xml:space="preserve">Bond Type</t>
  </si>
  <si>
    <t xml:space="preserve">Principal Name</t>
  </si>
  <si>
    <t xml:space="preserve">Obligee</t>
  </si>
  <si>
    <t xml:space="preserve">Bond Amount ($)</t>
  </si>
  <si>
    <t xml:space="preserve">Premium ($)</t>
  </si>
  <si>
    <t xml:space="preserve">Processor</t>
  </si>
  <si>
    <t xml:space="preserve">Status</t>
  </si>
  <si>
    <t xml:space="preserve">Priority</t>
  </si>
  <si>
    <t xml:space="preserve">Booking System</t>
  </si>
  <si>
    <t xml:space="preserve">Notes / Action Required</t>
  </si>
  <si>
    <t xml:space="preserve">Completion Date</t>
  </si>
  <si>
    <t xml:space="preserve">SLA Met?</t>
  </si>
  <si>
    <t xml:space="preserve">BD-2025-001</t>
  </si>
  <si>
    <t xml:space="preserve">Bid Bond</t>
  </si>
  <si>
    <t xml:space="preserve">Apex Construction LLC</t>
  </si>
  <si>
    <t xml:space="preserve">City of Hartford DOT</t>
  </si>
  <si>
    <t xml:space="preserve">Maria Lopez</t>
  </si>
  <si>
    <t xml:space="preserve">In Progress</t>
  </si>
  <si>
    <t xml:space="preserve">High</t>
  </si>
  <si>
    <t xml:space="preserve">PolicyCenter</t>
  </si>
  <si>
    <t xml:space="preserve">Awaiting notarized principal signature</t>
  </si>
  <si>
    <t xml:space="preserve">BD-2025-002</t>
  </si>
  <si>
    <t xml:space="preserve">Final Bond</t>
  </si>
  <si>
    <t xml:space="preserve">Greenway Builders Inc.</t>
  </si>
  <si>
    <t xml:space="preserve">State of CT Dept of Trans.</t>
  </si>
  <si>
    <t xml:space="preserve">James Carter</t>
  </si>
  <si>
    <t xml:space="preserve">Pending Info</t>
  </si>
  <si>
    <t xml:space="preserve">Need updated financial statement from agent</t>
  </si>
  <si>
    <t xml:space="preserve">BD-2025-003</t>
  </si>
  <si>
    <t xml:space="preserve">Rider</t>
  </si>
  <si>
    <t xml:space="preserve">SkyLine Electric Co.</t>
  </si>
  <si>
    <t xml:space="preserve">New Haven Municipality</t>
  </si>
  <si>
    <t xml:space="preserve">Sarah Kim</t>
  </si>
  <si>
    <t xml:space="preserve">Completed</t>
  </si>
  <si>
    <t xml:space="preserve">Medium</t>
  </si>
  <si>
    <t xml:space="preserve">Rider executed and mailed 2/28</t>
  </si>
  <si>
    <t xml:space="preserve">BD-2025-004</t>
  </si>
  <si>
    <t xml:space="preserve">Consent</t>
  </si>
  <si>
    <t xml:space="preserve">Pinnacle Paving Corp.</t>
  </si>
  <si>
    <t xml:space="preserve">CT DOT – District 3</t>
  </si>
  <si>
    <t xml:space="preserve">Consent of surety requested by obligee</t>
  </si>
  <si>
    <t xml:space="preserve">BD-2025-005</t>
  </si>
  <si>
    <t xml:space="preserve">Cancellation</t>
  </si>
  <si>
    <t xml:space="preserve">Blue Ridge HVAC</t>
  </si>
  <si>
    <t xml:space="preserve">Private Developer – XYZ</t>
  </si>
  <si>
    <t xml:space="preserve">Cancellation processed; refund premium confirmed</t>
  </si>
  <si>
    <t xml:space="preserve">BD-2025-006</t>
  </si>
  <si>
    <t xml:space="preserve">Hartwell General Cont.</t>
  </si>
  <si>
    <t xml:space="preserve">Stamford Board of Ed.</t>
  </si>
  <si>
    <t xml:space="preserve">Tom Nguyen</t>
  </si>
  <si>
    <t xml:space="preserve">New</t>
  </si>
  <si>
    <t xml:space="preserve">New submission – assign to underwriter for review</t>
  </si>
  <si>
    <t xml:space="preserve">BD-2025-007</t>
  </si>
  <si>
    <t xml:space="preserve">Iron Gate Construction</t>
  </si>
  <si>
    <t xml:space="preserve">Federal Highway Admin.</t>
  </si>
  <si>
    <t xml:space="preserve">Overdue</t>
  </si>
  <si>
    <t xml:space="preserve">Escalated – principal delay in submitting indemnity</t>
  </si>
  <si>
    <t xml:space="preserve">BD-2025-008</t>
  </si>
  <si>
    <t xml:space="preserve">Release</t>
  </si>
  <si>
    <t xml:space="preserve">Metro Water Solutions</t>
  </si>
  <si>
    <t xml:space="preserve">Bridgeport Water Auth.</t>
  </si>
  <si>
    <t xml:space="preserve">Low</t>
  </si>
  <si>
    <t xml:space="preserve">Release request; verify contract close-out docs</t>
  </si>
  <si>
    <t xml:space="preserve">BD-2025-009</t>
  </si>
  <si>
    <t xml:space="preserve">Premium Adj.</t>
  </si>
  <si>
    <t xml:space="preserve">Stonecrest Developers</t>
  </si>
  <si>
    <t xml:space="preserve">City of Waterbury</t>
  </si>
  <si>
    <t xml:space="preserve">Audit complete; premium increase $450 pending</t>
  </si>
  <si>
    <t xml:space="preserve">BD-2025-010</t>
  </si>
  <si>
    <t xml:space="preserve">Coastal Engineering LLC</t>
  </si>
  <si>
    <t xml:space="preserve">CT DEEP – Environmental</t>
  </si>
  <si>
    <t xml:space="preserve">Bond form under legal review by obligee</t>
  </si>
  <si>
    <t xml:space="preserve">BD-2025-011</t>
  </si>
  <si>
    <t xml:space="preserve">Ridgeline Roofing Inc.</t>
  </si>
  <si>
    <t xml:space="preserve">Norwalk School District</t>
  </si>
  <si>
    <t xml:space="preserve">Final bond executed; close-out initiated</t>
  </si>
  <si>
    <t xml:space="preserve">BD-2025-012</t>
  </si>
  <si>
    <t xml:space="preserve">Summit Site Works</t>
  </si>
  <si>
    <t xml:space="preserve">Danbury Urban Renewal</t>
  </si>
  <si>
    <t xml:space="preserve">Rider to extend bond period by 6 months</t>
  </si>
  <si>
    <t xml:space="preserve">BD-2025-013</t>
  </si>
  <si>
    <t xml:space="preserve">NovaBuild Contractors</t>
  </si>
  <si>
    <t xml:space="preserve">Meriden Parking Authority</t>
  </si>
  <si>
    <t xml:space="preserve">Need executed contract copy from principal</t>
  </si>
  <si>
    <t xml:space="preserve">BD-2025-014</t>
  </si>
  <si>
    <t xml:space="preserve">Harbor View Marine</t>
  </si>
  <si>
    <t xml:space="preserve">CT Port Authority</t>
  </si>
  <si>
    <t xml:space="preserve">Cancellation notice served; awaiting obligee ack.</t>
  </si>
  <si>
    <t xml:space="preserve">BD-2025-015</t>
  </si>
  <si>
    <t xml:space="preserve">Statewide Paving LLC</t>
  </si>
  <si>
    <t xml:space="preserve">CDOT – District 1</t>
  </si>
  <si>
    <t xml:space="preserve">New bid bond – review underwriting file</t>
  </si>
  <si>
    <t xml:space="preserve">BD-2025-016</t>
  </si>
  <si>
    <t xml:space="preserve">Allied Mechanical Corp.</t>
  </si>
  <si>
    <t xml:space="preserve">Yale New Haven Health</t>
  </si>
  <si>
    <t xml:space="preserve">Executed and delivered 2/25</t>
  </si>
  <si>
    <t xml:space="preserve">BD-2025-017</t>
  </si>
  <si>
    <t xml:space="preserve">Fairview Construction</t>
  </si>
  <si>
    <t xml:space="preserve">Shelton Public Works</t>
  </si>
  <si>
    <t xml:space="preserve">Mid-term audit; contract value increased $60k</t>
  </si>
  <si>
    <t xml:space="preserve">BD-2025-018</t>
  </si>
  <si>
    <t xml:space="preserve">Clearwater Utilities</t>
  </si>
  <si>
    <t xml:space="preserve">New Britain Water Dept.</t>
  </si>
  <si>
    <t xml:space="preserve">Project substantially complete; release pending</t>
  </si>
  <si>
    <t xml:space="preserve">BD-2025-019</t>
  </si>
  <si>
    <t xml:space="preserve">Triumph General Cont.</t>
  </si>
  <si>
    <t xml:space="preserve">Ansonia Board of Ed.</t>
  </si>
  <si>
    <t xml:space="preserve">Rush – bid opening 3/6 at 2 PM</t>
  </si>
  <si>
    <t xml:space="preserve">BD-2025-020</t>
  </si>
  <si>
    <t xml:space="preserve">PrimePath Contracting</t>
  </si>
  <si>
    <t xml:space="preserve">Groton Utilities District</t>
  </si>
  <si>
    <t xml:space="preserve">Waiting on payment bond form from obligee</t>
  </si>
  <si>
    <t xml:space="preserve">SURETY OPERATIONS DASHBOARD – EXECUTIVE SUMMARY</t>
  </si>
  <si>
    <t xml:space="preserve">As of: March 01, 2025  |  Auto-calculated from Bond Queue Tracker</t>
  </si>
  <si>
    <t xml:space="preserve">Total Bonds in Queue</t>
  </si>
  <si>
    <t xml:space="preserve">Open / Active</t>
  </si>
  <si>
    <t xml:space="preserve">STATUS BREAKDOWN</t>
  </si>
  <si>
    <t xml:space="preserve">BOND TYPE VOLUME</t>
  </si>
  <si>
    <t xml:space="preserve">Count</t>
  </si>
  <si>
    <t xml:space="preserve">% of Queue</t>
  </si>
  <si>
    <t xml:space="preserve">Avg Days Remaining</t>
  </si>
  <si>
    <t xml:space="preserve">Total Premium ($)</t>
  </si>
  <si>
    <t xml:space="preserve">Bond Types</t>
  </si>
  <si>
    <t xml:space="preserve">Total Amount ($)</t>
  </si>
  <si>
    <t xml:space="preserve">Avg Premium ($)</t>
  </si>
  <si>
    <t xml:space="preserve">% of Portfolio</t>
  </si>
  <si>
    <t xml:space="preserve">—</t>
  </si>
  <si>
    <t xml:space="preserve">N/A</t>
  </si>
  <si>
    <t xml:space="preserve">PROCESSOR WORKLOAD SUMMARY</t>
  </si>
  <si>
    <t xml:space="preserve">Total Assigned</t>
  </si>
  <si>
    <t xml:space="preserve">Open</t>
  </si>
  <si>
    <t xml:space="preserve">Completion Rate</t>
  </si>
  <si>
    <t xml:space="preserve">⚠  HIGH PRIORITY &amp; OVERDUE ALERTS</t>
  </si>
  <si>
    <t xml:space="preserve">Principal</t>
  </si>
  <si>
    <t xml:space="preserve">SURETY – RENEWAL BILL ACCURACY CHECKER</t>
  </si>
  <si>
    <t xml:space="preserve">Compare renewal bills against master policy data · Auto-flag discrepancies · Track corrections</t>
  </si>
  <si>
    <t xml:space="preserve">HOW TO USE: Enter renewal bill figures in yellow columns. System auto-compares to master policy. Red = Discrepancy | Green = Match</t>
  </si>
  <si>
    <t xml:space="preserve">Master Premium ($)</t>
  </si>
  <si>
    <t xml:space="preserve">Bill Premium ($)</t>
  </si>
  <si>
    <t xml:space="preserve">Premium Match?</t>
  </si>
  <si>
    <t xml:space="preserve">Master Bond Amt ($)</t>
  </si>
  <si>
    <t xml:space="preserve">Bill Bond Amt ($)</t>
  </si>
  <si>
    <t xml:space="preserve">Amount Match?</t>
  </si>
  <si>
    <t xml:space="preserve">Overall Status</t>
  </si>
  <si>
    <t xml:space="preserve">Notes</t>
  </si>
  <si>
    <t xml:space="preserve">Premium bill $200 over – verify audit</t>
  </si>
  <si>
    <t xml:space="preserve">Bond amount discrepancy – check contract</t>
  </si>
  <si>
    <t xml:space="preserve">Audit increase reflected – confirm with UW</t>
  </si>
  <si>
    <t xml:space="preserve">Cancellation – no premium should be billed</t>
  </si>
  <si>
    <t xml:space="preserve">Bond amt on bill reflects contract increase</t>
  </si>
  <si>
    <t xml:space="preserve">Rush processing</t>
  </si>
  <si>
    <t xml:space="preserve">Bond amount $70k short – escalate to UW</t>
  </si>
  <si>
    <t xml:space="preserve">SUMMARY TOTALS</t>
  </si>
  <si>
    <t xml:space="preserve">SURETY – SHARED E-MAILBOX MANAGEMENT LOG</t>
  </si>
  <si>
    <t xml:space="preserve">Track all incoming requests · Assign processor · Monitor response time · Ensure no item is missed</t>
  </si>
  <si>
    <t xml:space="preserve">Log ID</t>
  </si>
  <si>
    <t xml:space="preserve">Date Received</t>
  </si>
  <si>
    <t xml:space="preserve">From (Agent/Obligee)</t>
  </si>
  <si>
    <t xml:space="preserve">Subject / Request Type</t>
  </si>
  <si>
    <t xml:space="preserve">Bond ID Ref.</t>
  </si>
  <si>
    <t xml:space="preserve">Assigned To</t>
  </si>
  <si>
    <t xml:space="preserve">Date Responded</t>
  </si>
  <si>
    <t xml:space="preserve">Response Time (Days)</t>
  </si>
  <si>
    <t xml:space="preserve">Action Taken</t>
  </si>
  <si>
    <t xml:space="preserve">Follow-Up Needed?</t>
  </si>
  <si>
    <t xml:space="preserve">EM-001</t>
  </si>
  <si>
    <t xml:space="preserve">Hartford Bonding Agency</t>
  </si>
  <si>
    <t xml:space="preserve">Bid Bond Request – Apex Construction</t>
  </si>
  <si>
    <t xml:space="preserve">No</t>
  </si>
  <si>
    <t xml:space="preserve">EM-002</t>
  </si>
  <si>
    <t xml:space="preserve">State Farm Surety Agents</t>
  </si>
  <si>
    <t xml:space="preserve">Final Bond – Greenway Builders, financial docs</t>
  </si>
  <si>
    <t xml:space="preserve">Yes – awaiting docs</t>
  </si>
  <si>
    <t xml:space="preserve">EM-003</t>
  </si>
  <si>
    <t xml:space="preserve">Metro Bonding LLC</t>
  </si>
  <si>
    <t xml:space="preserve">Rider Request – SkyLine Electric</t>
  </si>
  <si>
    <t xml:space="preserve">EM-004</t>
  </si>
  <si>
    <t xml:space="preserve">CT DOT Procurement Office</t>
  </si>
  <si>
    <t xml:space="preserve">Consent of Surety – Pinnacle Paving</t>
  </si>
  <si>
    <t xml:space="preserve">Yes – legal review</t>
  </si>
  <si>
    <t xml:space="preserve">EM-005</t>
  </si>
  <si>
    <t xml:space="preserve">Blue Ridge HVAC Direct</t>
  </si>
  <si>
    <t xml:space="preserve">Cancellation Notice Submission</t>
  </si>
  <si>
    <t xml:space="preserve">EM-006</t>
  </si>
  <si>
    <t xml:space="preserve">Summit Bond Group</t>
  </si>
  <si>
    <t xml:space="preserve">New Bid Bond Inquiry – Hartwell Contractors</t>
  </si>
  <si>
    <t xml:space="preserve">EM-007</t>
  </si>
  <si>
    <t xml:space="preserve">URGENT: Final Bond overdue – indemnity issue</t>
  </si>
  <si>
    <t xml:space="preserve">Escalated</t>
  </si>
  <si>
    <t xml:space="preserve">Yes – supervisor notified</t>
  </si>
  <si>
    <t xml:space="preserve">EM-008</t>
  </si>
  <si>
    <t xml:space="preserve">Bridgeport Water Authority</t>
  </si>
  <si>
    <t xml:space="preserve">Release Request – Metro Water Solutions</t>
  </si>
  <si>
    <t xml:space="preserve">EM-009</t>
  </si>
  <si>
    <t xml:space="preserve">Landmark Surety Partners</t>
  </si>
  <si>
    <t xml:space="preserve">Premium Adjustment – Stonecrest Developers</t>
  </si>
  <si>
    <t xml:space="preserve">EM-010</t>
  </si>
  <si>
    <t xml:space="preserve">Bond Form Legal Query – CT DEEP</t>
  </si>
  <si>
    <t xml:space="preserve">Yes – pending legal</t>
  </si>
  <si>
    <t xml:space="preserve">EM-011</t>
  </si>
  <si>
    <t xml:space="preserve">Northeast Surety Agents</t>
  </si>
  <si>
    <t xml:space="preserve">Final Bond – Ridgeline Roofing Close-Out</t>
  </si>
  <si>
    <t xml:space="preserve">EM-012</t>
  </si>
  <si>
    <t xml:space="preserve">Rider – 6-month extension, Danbury project</t>
  </si>
  <si>
    <t xml:space="preserve">EM-013</t>
  </si>
  <si>
    <t xml:space="preserve">Consent Request – NovaBuild, need contract copy</t>
  </si>
  <si>
    <t xml:space="preserve">Yes – chasing agent</t>
  </si>
  <si>
    <t xml:space="preserve">EM-014</t>
  </si>
  <si>
    <t xml:space="preserve">Cancellation – awaiting obligee acknowledgment</t>
  </si>
  <si>
    <t xml:space="preserve">EM-015</t>
  </si>
  <si>
    <t xml:space="preserve">New Bid Bond Submission – CDOT District 1</t>
  </si>
  <si>
    <t xml:space="preserve">SURETY OPERATIONS TRACKER – USER GUIDE</t>
  </si>
  <si>
    <t xml:space="preserve">ABOUT THIS WORKBOOK</t>
  </si>
  <si>
    <t xml:space="preserve">Purpose:</t>
  </si>
  <si>
    <t xml:space="preserve">This tracker simulates the real-world bond processing queue used by a Surety Underwriting Technical Assistant.</t>
  </si>
  <si>
    <t xml:space="preserve">Author:</t>
  </si>
  <si>
    <t xml:space="preserve">Darshan – MS Data Science, University of New Haven</t>
  </si>
  <si>
    <t xml:space="preserve">Context:</t>
  </si>
  <si>
    <t xml:space="preserve">Built to demonstrate proficiency in Excel-based workflow management, data validation, formula logic, and operational reporting relevant to Chubb Surety Technical Assistant responsibilities.</t>
  </si>
  <si>
    <t xml:space="preserve">SHEET GUIDE</t>
  </si>
  <si>
    <t xml:space="preserve">📊 Bond Queue Tracker:</t>
  </si>
  <si>
    <t xml:space="preserve">Main operational log. Add/update bonds here. All other sheets pull data from this sheet via COUNTIF, SUMIF, VLOOKUP formulas.</t>
  </si>
  <si>
    <t xml:space="preserve">📈 Summary Dashboard:</t>
  </si>
  <si>
    <t xml:space="preserve">Auto-calculated KPIs: status breakdown, processor workload, bond type volume, and high-priority alerts. No manual entry needed.</t>
  </si>
  <si>
    <t xml:space="preserve">✅ Renewal Bill Checker:</t>
  </si>
  <si>
    <t xml:space="preserve">Enter renewal bill figures in YELLOW cells. Green = match with master policy, Red = discrepancy requiring review.</t>
  </si>
  <si>
    <t xml:space="preserve">📬 Email Inbox Log:</t>
  </si>
  <si>
    <t xml:space="preserve">Track every email received in the shared mailbox. Log assignment, response date, and follow-up needs.</t>
  </si>
  <si>
    <t xml:space="preserve">HOW TO USE – BOND QUEUE TRACKER</t>
  </si>
  <si>
    <t xml:space="preserve">Step 1:</t>
  </si>
  <si>
    <t xml:space="preserve">Add a new row below existing bonds. Use the Bond ID format BD-YYYY-###.</t>
  </si>
  <si>
    <t xml:space="preserve">Step 2:</t>
  </si>
  <si>
    <t xml:space="preserve">Select Bond Type, Status, and Priority from the dropdown menus (data validation applied).</t>
  </si>
  <si>
    <t xml:space="preserve">Step 3:</t>
  </si>
  <si>
    <t xml:space="preserve">Enter Request Date and Due Date. The 'Days Remaining' column calculates automatically.</t>
  </si>
  <si>
    <t xml:space="preserve">Step 4:</t>
  </si>
  <si>
    <t xml:space="preserve">Assign the bond to a processor. Update Status as work progresses.</t>
  </si>
  <si>
    <t xml:space="preserve">Step 5:</t>
  </si>
  <si>
    <t xml:space="preserve">When complete, enter the Completion Date. The SLA Met column auto-calculates.</t>
  </si>
  <si>
    <t xml:space="preserve">KEY FORMULAS USED</t>
  </si>
  <si>
    <t xml:space="preserve">Days Remaining:</t>
  </si>
  <si>
    <t xml:space="preserve">IF(K='Completed','Done',DueDate-TODAY()) – real-time countdown</t>
  </si>
  <si>
    <t xml:space="preserve">SLA Met:</t>
  </si>
  <si>
    <t xml:space="preserve">IF(CompletionDate&lt;=DueDate,'✔ Yes','✘ No') – automatic SLA tracking</t>
  </si>
  <si>
    <t xml:space="preserve">Dashboard KPIs:</t>
  </si>
  <si>
    <t xml:space="preserve">COUNTIF, SUMIF, AVERAGEIF, COUNTIFS – pulling live from Bond Queue</t>
  </si>
  <si>
    <t xml:space="preserve">Renewal Checker:</t>
  </si>
  <si>
    <t xml:space="preserve">IF(MasterPremium=BillPremium,'✔ Match','✘ Mismatch') – instant QA</t>
  </si>
  <si>
    <t xml:space="preserve">COLOR CODE REFERENCE</t>
  </si>
  <si>
    <t xml:space="preserve">Blue headers:</t>
  </si>
  <si>
    <t xml:space="preserve">Column labels and section titles</t>
  </si>
  <si>
    <t xml:space="preserve">Green rows:</t>
  </si>
  <si>
    <t xml:space="preserve">Completed bonds / matched bills</t>
  </si>
  <si>
    <t xml:space="preserve">Yellow rows:</t>
  </si>
  <si>
    <t xml:space="preserve">Pending information – action required</t>
  </si>
  <si>
    <t xml:space="preserve">Orange rows:</t>
  </si>
  <si>
    <t xml:space="preserve">In-progress items</t>
  </si>
  <si>
    <t xml:space="preserve">Red rows:</t>
  </si>
  <si>
    <t xml:space="preserve">Overdue items – immediate attention needed</t>
  </si>
  <si>
    <t xml:space="preserve">Yellow input cells:</t>
  </si>
  <si>
    <t xml:space="preserve">Data entry fields in Renewal Bill Checker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</si>
</sst>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General"/>
    <numFmt numFmtId="167" formatCode="\$#,##0"/>
    <numFmt numFmtId="168" formatCode="0.0%"/>
    <numFmt numFmtId="169" formatCode="0.0"/>
    <numFmt numFmtId="170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BDD7E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BDD7E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1B2A4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1E3A5F"/>
        <bgColor rgb="FF1B2A4A"/>
      </patternFill>
    </fill>
    <fill>
      <patternFill patternType="solid">
        <fgColor rgb="FFDEEAF1"/>
        <bgColor rgb="FFD9EAD3"/>
      </patternFill>
    </fill>
    <fill>
      <patternFill patternType="solid">
        <fgColor rgb="FF2E75B6"/>
        <bgColor rgb="FF0066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EAF1DD"/>
        <bgColor rgb="FFF2F2F2"/>
      </patternFill>
    </fill>
    <fill>
      <patternFill patternType="solid">
        <fgColor rgb="FFD9EAD3"/>
        <bgColor rgb="FFDEEAF1"/>
      </patternFill>
    </fill>
    <fill>
      <patternFill patternType="solid">
        <fgColor rgb="FFF4CCCC"/>
        <bgColor rgb="FFFFC7CE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8B0000"/>
        <bgColor rgb="FF9C0006"/>
      </patternFill>
    </fill>
    <fill>
      <patternFill patternType="solid">
        <fgColor rgb="FFFFC7CE"/>
        <bgColor rgb="FFF4CCCC"/>
      </patternFill>
    </fill>
    <fill>
      <patternFill patternType="solid">
        <fgColor rgb="FFF2F2F2"/>
        <bgColor rgb="FFEA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375623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AF1DD"/>
      <rgbColor rgb="FFC6EFCE"/>
      <rgbColor rgb="FFFCE5CD"/>
      <rgbColor rgb="FFD9EAD3"/>
      <rgbColor rgb="FFFFC7CE"/>
      <rgbColor rgb="FFF2F2F2"/>
      <rgbColor rgb="FFF4CCCC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E3A5F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P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2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21.75" hidden="false" customHeight="true" outlineLevel="0" collapsed="false">
      <c r="A5" s="5" t="s">
        <v>18</v>
      </c>
      <c r="B5" s="6" t="n">
        <v>45708</v>
      </c>
      <c r="C5" s="6" t="n">
        <v>45721</v>
      </c>
      <c r="D5" s="7" t="n">
        <f aca="true">IFERROR(IF(K5="Completed","Done",C5-TODAY()),"")</f>
        <v>-360</v>
      </c>
      <c r="E5" s="8" t="s">
        <v>19</v>
      </c>
      <c r="F5" s="8" t="s">
        <v>20</v>
      </c>
      <c r="G5" s="8" t="s">
        <v>21</v>
      </c>
      <c r="H5" s="9" t="n">
        <v>250000</v>
      </c>
      <c r="I5" s="9" t="n">
        <v>500</v>
      </c>
      <c r="J5" s="5" t="s">
        <v>22</v>
      </c>
      <c r="K5" s="5" t="s">
        <v>23</v>
      </c>
      <c r="L5" s="5" t="s">
        <v>24</v>
      </c>
      <c r="M5" s="5" t="s">
        <v>25</v>
      </c>
      <c r="N5" s="8" t="s">
        <v>26</v>
      </c>
      <c r="O5" s="5"/>
      <c r="P5" s="5" t="str">
        <f aca="false">IFERROR(IF(K5="Completed",IF(O5&lt;="","",IF(O5&lt;=C5,"✔ Yes","✘ No")),"—"),"")</f>
        <v>—</v>
      </c>
    </row>
    <row r="6" customFormat="false" ht="21.75" hidden="false" customHeight="true" outlineLevel="0" collapsed="false">
      <c r="A6" s="10" t="s">
        <v>27</v>
      </c>
      <c r="B6" s="11" t="n">
        <v>45710</v>
      </c>
      <c r="C6" s="11" t="n">
        <v>45719</v>
      </c>
      <c r="D6" s="12" t="n">
        <f aca="true">IFERROR(IF(K6="Completed","Done",C6-TODAY()),"")</f>
        <v>-362</v>
      </c>
      <c r="E6" s="13" t="s">
        <v>28</v>
      </c>
      <c r="F6" s="13" t="s">
        <v>29</v>
      </c>
      <c r="G6" s="13" t="s">
        <v>30</v>
      </c>
      <c r="H6" s="14" t="n">
        <v>1200000</v>
      </c>
      <c r="I6" s="14" t="n">
        <v>2400</v>
      </c>
      <c r="J6" s="10" t="s">
        <v>31</v>
      </c>
      <c r="K6" s="10" t="s">
        <v>32</v>
      </c>
      <c r="L6" s="10" t="s">
        <v>24</v>
      </c>
      <c r="M6" s="10" t="s">
        <v>25</v>
      </c>
      <c r="N6" s="13" t="s">
        <v>33</v>
      </c>
      <c r="O6" s="10"/>
      <c r="P6" s="10" t="str">
        <f aca="false">IFERROR(IF(K6="Completed",IF(O6&lt;="","",IF(O6&lt;=C6,"✔ Yes","✘ No")),"—"),"")</f>
        <v>—</v>
      </c>
    </row>
    <row r="7" customFormat="false" ht="21.75" hidden="false" customHeight="true" outlineLevel="0" collapsed="false">
      <c r="A7" s="15" t="s">
        <v>34</v>
      </c>
      <c r="B7" s="16" t="n">
        <v>45706</v>
      </c>
      <c r="C7" s="16" t="n">
        <v>45726</v>
      </c>
      <c r="D7" s="15" t="str">
        <f aca="true">IFERROR(IF(K7="Completed","Done",C7-TODAY()),"")</f>
        <v>Done</v>
      </c>
      <c r="E7" s="17" t="s">
        <v>35</v>
      </c>
      <c r="F7" s="17" t="s">
        <v>36</v>
      </c>
      <c r="G7" s="17" t="s">
        <v>37</v>
      </c>
      <c r="H7" s="18" t="n">
        <v>80000</v>
      </c>
      <c r="I7" s="18" t="n">
        <v>160</v>
      </c>
      <c r="J7" s="15" t="s">
        <v>38</v>
      </c>
      <c r="K7" s="15" t="s">
        <v>39</v>
      </c>
      <c r="L7" s="15" t="s">
        <v>40</v>
      </c>
      <c r="M7" s="15" t="s">
        <v>25</v>
      </c>
      <c r="N7" s="17" t="s">
        <v>41</v>
      </c>
      <c r="O7" s="16" t="n">
        <v>45716</v>
      </c>
      <c r="P7" s="15" t="str">
        <f aca="false">IFERROR(IF(K7="Completed",IF(O7&lt;="","",IF(O7&lt;=C7,"✔ Yes","✘ No")),"—"),"")</f>
        <v/>
      </c>
    </row>
    <row r="8" customFormat="false" ht="21.75" hidden="false" customHeight="true" outlineLevel="0" collapsed="false">
      <c r="A8" s="5" t="s">
        <v>42</v>
      </c>
      <c r="B8" s="6" t="n">
        <v>45713</v>
      </c>
      <c r="C8" s="6" t="n">
        <v>45723</v>
      </c>
      <c r="D8" s="7" t="n">
        <f aca="true">IFERROR(IF(K8="Completed","Done",C8-TODAY()),"")</f>
        <v>-358</v>
      </c>
      <c r="E8" s="8" t="s">
        <v>43</v>
      </c>
      <c r="F8" s="8" t="s">
        <v>44</v>
      </c>
      <c r="G8" s="8" t="s">
        <v>45</v>
      </c>
      <c r="H8" s="9" t="n">
        <v>500000</v>
      </c>
      <c r="I8" s="9" t="n">
        <v>1000</v>
      </c>
      <c r="J8" s="5" t="s">
        <v>22</v>
      </c>
      <c r="K8" s="5" t="s">
        <v>23</v>
      </c>
      <c r="L8" s="5" t="s">
        <v>24</v>
      </c>
      <c r="M8" s="5" t="s">
        <v>25</v>
      </c>
      <c r="N8" s="8" t="s">
        <v>46</v>
      </c>
      <c r="O8" s="5"/>
      <c r="P8" s="5" t="str">
        <f aca="false">IFERROR(IF(K8="Completed",IF(O8&lt;="","",IF(O8&lt;=C8,"✔ Yes","✘ No")),"—"),"")</f>
        <v>—</v>
      </c>
    </row>
    <row r="9" customFormat="false" ht="21.75" hidden="false" customHeight="true" outlineLevel="0" collapsed="false">
      <c r="A9" s="15" t="s">
        <v>47</v>
      </c>
      <c r="B9" s="16" t="n">
        <v>45698</v>
      </c>
      <c r="C9" s="16" t="n">
        <v>45716</v>
      </c>
      <c r="D9" s="15" t="str">
        <f aca="true">IFERROR(IF(K9="Completed","Done",C9-TODAY()),"")</f>
        <v>Done</v>
      </c>
      <c r="E9" s="17" t="s">
        <v>48</v>
      </c>
      <c r="F9" s="17" t="s">
        <v>49</v>
      </c>
      <c r="G9" s="17" t="s">
        <v>50</v>
      </c>
      <c r="H9" s="18" t="n">
        <v>150000</v>
      </c>
      <c r="I9" s="18" t="n">
        <v>0</v>
      </c>
      <c r="J9" s="15" t="s">
        <v>31</v>
      </c>
      <c r="K9" s="15" t="s">
        <v>39</v>
      </c>
      <c r="L9" s="15" t="s">
        <v>40</v>
      </c>
      <c r="M9" s="15" t="s">
        <v>25</v>
      </c>
      <c r="N9" s="17" t="s">
        <v>51</v>
      </c>
      <c r="O9" s="16" t="n">
        <v>45715</v>
      </c>
      <c r="P9" s="15" t="str">
        <f aca="false">IFERROR(IF(K9="Completed",IF(O9&lt;="","",IF(O9&lt;=C9,"✔ Yes","✘ No")),"—"),"")</f>
        <v/>
      </c>
    </row>
    <row r="10" customFormat="false" ht="21.75" hidden="false" customHeight="true" outlineLevel="0" collapsed="false">
      <c r="A10" s="19" t="s">
        <v>52</v>
      </c>
      <c r="B10" s="20" t="n">
        <v>45714</v>
      </c>
      <c r="C10" s="20" t="n">
        <v>45728</v>
      </c>
      <c r="D10" s="21" t="n">
        <f aca="true">IFERROR(IF(K10="Completed","Done",C10-TODAY()),"")</f>
        <v>-353</v>
      </c>
      <c r="E10" s="22" t="s">
        <v>19</v>
      </c>
      <c r="F10" s="22" t="s">
        <v>53</v>
      </c>
      <c r="G10" s="22" t="s">
        <v>54</v>
      </c>
      <c r="H10" s="23" t="n">
        <v>400000</v>
      </c>
      <c r="I10" s="23" t="n">
        <v>800</v>
      </c>
      <c r="J10" s="19" t="s">
        <v>55</v>
      </c>
      <c r="K10" s="19" t="s">
        <v>56</v>
      </c>
      <c r="L10" s="19" t="s">
        <v>40</v>
      </c>
      <c r="M10" s="19" t="s">
        <v>25</v>
      </c>
      <c r="N10" s="22" t="s">
        <v>57</v>
      </c>
      <c r="O10" s="19"/>
      <c r="P10" s="19" t="str">
        <f aca="false">IFERROR(IF(K10="Completed",IF(O10&lt;="","",IF(O10&lt;=C10,"✔ Yes","✘ No")),"—"),"")</f>
        <v>—</v>
      </c>
    </row>
    <row r="11" customFormat="false" ht="21.75" hidden="false" customHeight="true" outlineLevel="0" collapsed="false">
      <c r="A11" s="24" t="s">
        <v>58</v>
      </c>
      <c r="B11" s="25" t="n">
        <v>45703</v>
      </c>
      <c r="C11" s="25" t="n">
        <v>45717</v>
      </c>
      <c r="D11" s="26" t="n">
        <f aca="true">IFERROR(IF(K11="Completed","Done",C11-TODAY()),"")</f>
        <v>-364</v>
      </c>
      <c r="E11" s="27" t="s">
        <v>28</v>
      </c>
      <c r="F11" s="27" t="s">
        <v>59</v>
      </c>
      <c r="G11" s="27" t="s">
        <v>60</v>
      </c>
      <c r="H11" s="28" t="n">
        <v>2500000</v>
      </c>
      <c r="I11" s="28" t="n">
        <v>6250</v>
      </c>
      <c r="J11" s="24" t="s">
        <v>38</v>
      </c>
      <c r="K11" s="24" t="s">
        <v>61</v>
      </c>
      <c r="L11" s="24" t="s">
        <v>24</v>
      </c>
      <c r="M11" s="24" t="s">
        <v>25</v>
      </c>
      <c r="N11" s="27" t="s">
        <v>62</v>
      </c>
      <c r="O11" s="24"/>
      <c r="P11" s="24" t="str">
        <f aca="false">IFERROR(IF(K11="Completed",IF(O11&lt;="","",IF(O11&lt;=C11,"✔ Yes","✘ No")),"—"),"")</f>
        <v>—</v>
      </c>
    </row>
    <row r="12" customFormat="false" ht="21.75" hidden="false" customHeight="true" outlineLevel="0" collapsed="false">
      <c r="A12" s="19" t="s">
        <v>63</v>
      </c>
      <c r="B12" s="20" t="n">
        <v>45716</v>
      </c>
      <c r="C12" s="20" t="n">
        <v>45731</v>
      </c>
      <c r="D12" s="21" t="n">
        <f aca="true">IFERROR(IF(K12="Completed","Done",C12-TODAY()),"")</f>
        <v>-350</v>
      </c>
      <c r="E12" s="22" t="s">
        <v>64</v>
      </c>
      <c r="F12" s="22" t="s">
        <v>65</v>
      </c>
      <c r="G12" s="22" t="s">
        <v>66</v>
      </c>
      <c r="H12" s="23" t="n">
        <v>300000</v>
      </c>
      <c r="I12" s="23" t="n">
        <v>0</v>
      </c>
      <c r="J12" s="19" t="s">
        <v>55</v>
      </c>
      <c r="K12" s="19" t="s">
        <v>56</v>
      </c>
      <c r="L12" s="19" t="s">
        <v>67</v>
      </c>
      <c r="M12" s="19" t="s">
        <v>25</v>
      </c>
      <c r="N12" s="22" t="s">
        <v>68</v>
      </c>
      <c r="O12" s="19"/>
      <c r="P12" s="19" t="str">
        <f aca="false">IFERROR(IF(K12="Completed",IF(O12&lt;="","",IF(O12&lt;=C12,"✔ Yes","✘ No")),"—"),"")</f>
        <v>—</v>
      </c>
    </row>
    <row r="13" customFormat="false" ht="21.75" hidden="false" customHeight="true" outlineLevel="0" collapsed="false">
      <c r="A13" s="5" t="s">
        <v>69</v>
      </c>
      <c r="B13" s="6" t="n">
        <v>45709</v>
      </c>
      <c r="C13" s="6" t="n">
        <v>45722</v>
      </c>
      <c r="D13" s="7" t="n">
        <f aca="true">IFERROR(IF(K13="Completed","Done",C13-TODAY()),"")</f>
        <v>-359</v>
      </c>
      <c r="E13" s="8" t="s">
        <v>70</v>
      </c>
      <c r="F13" s="8" t="s">
        <v>71</v>
      </c>
      <c r="G13" s="8" t="s">
        <v>72</v>
      </c>
      <c r="H13" s="9" t="n">
        <v>950000</v>
      </c>
      <c r="I13" s="9" t="n">
        <v>1900</v>
      </c>
      <c r="J13" s="5" t="s">
        <v>22</v>
      </c>
      <c r="K13" s="5" t="s">
        <v>23</v>
      </c>
      <c r="L13" s="5" t="s">
        <v>40</v>
      </c>
      <c r="M13" s="5" t="s">
        <v>25</v>
      </c>
      <c r="N13" s="8" t="s">
        <v>73</v>
      </c>
      <c r="O13" s="5"/>
      <c r="P13" s="5" t="str">
        <f aca="false">IFERROR(IF(K13="Completed",IF(O13&lt;="","",IF(O13&lt;=C13,"✔ Yes","✘ No")),"—"),"")</f>
        <v>—</v>
      </c>
    </row>
    <row r="14" customFormat="false" ht="21.75" hidden="false" customHeight="true" outlineLevel="0" collapsed="false">
      <c r="A14" s="5" t="s">
        <v>74</v>
      </c>
      <c r="B14" s="6" t="n">
        <v>45711</v>
      </c>
      <c r="C14" s="6" t="n">
        <v>45724</v>
      </c>
      <c r="D14" s="7" t="n">
        <f aca="true">IFERROR(IF(K14="Completed","Done",C14-TODAY()),"")</f>
        <v>-357</v>
      </c>
      <c r="E14" s="8" t="s">
        <v>19</v>
      </c>
      <c r="F14" s="8" t="s">
        <v>75</v>
      </c>
      <c r="G14" s="8" t="s">
        <v>76</v>
      </c>
      <c r="H14" s="9" t="n">
        <v>175000</v>
      </c>
      <c r="I14" s="9" t="n">
        <v>350</v>
      </c>
      <c r="J14" s="5" t="s">
        <v>31</v>
      </c>
      <c r="K14" s="5" t="s">
        <v>23</v>
      </c>
      <c r="L14" s="5" t="s">
        <v>40</v>
      </c>
      <c r="M14" s="5" t="s">
        <v>25</v>
      </c>
      <c r="N14" s="8" t="s">
        <v>77</v>
      </c>
      <c r="O14" s="5"/>
      <c r="P14" s="5" t="str">
        <f aca="false">IFERROR(IF(K14="Completed",IF(O14&lt;="","",IF(O14&lt;=C14,"✔ Yes","✘ No")),"—"),"")</f>
        <v>—</v>
      </c>
    </row>
    <row r="15" customFormat="false" ht="21.75" hidden="false" customHeight="true" outlineLevel="0" collapsed="false">
      <c r="A15" s="15" t="s">
        <v>78</v>
      </c>
      <c r="B15" s="16" t="n">
        <v>45705</v>
      </c>
      <c r="C15" s="16" t="n">
        <v>45713</v>
      </c>
      <c r="D15" s="15" t="str">
        <f aca="true">IFERROR(IF(K15="Completed","Done",C15-TODAY()),"")</f>
        <v>Done</v>
      </c>
      <c r="E15" s="17" t="s">
        <v>28</v>
      </c>
      <c r="F15" s="17" t="s">
        <v>79</v>
      </c>
      <c r="G15" s="17" t="s">
        <v>80</v>
      </c>
      <c r="H15" s="18" t="n">
        <v>620000</v>
      </c>
      <c r="I15" s="18" t="n">
        <v>1550</v>
      </c>
      <c r="J15" s="15" t="s">
        <v>38</v>
      </c>
      <c r="K15" s="15" t="s">
        <v>39</v>
      </c>
      <c r="L15" s="15" t="s">
        <v>24</v>
      </c>
      <c r="M15" s="15" t="s">
        <v>25</v>
      </c>
      <c r="N15" s="17" t="s">
        <v>81</v>
      </c>
      <c r="O15" s="16" t="n">
        <v>45712</v>
      </c>
      <c r="P15" s="15" t="str">
        <f aca="false">IFERROR(IF(K15="Completed",IF(O15&lt;="","",IF(O15&lt;=C15,"✔ Yes","✘ No")),"—"),"")</f>
        <v/>
      </c>
    </row>
    <row r="16" customFormat="false" ht="21.75" hidden="false" customHeight="true" outlineLevel="0" collapsed="false">
      <c r="A16" s="19" t="s">
        <v>82</v>
      </c>
      <c r="B16" s="20" t="n">
        <v>45715</v>
      </c>
      <c r="C16" s="20" t="n">
        <v>45730</v>
      </c>
      <c r="D16" s="21" t="n">
        <f aca="true">IFERROR(IF(K16="Completed","Done",C16-TODAY()),"")</f>
        <v>-351</v>
      </c>
      <c r="E16" s="22" t="s">
        <v>35</v>
      </c>
      <c r="F16" s="22" t="s">
        <v>83</v>
      </c>
      <c r="G16" s="22" t="s">
        <v>84</v>
      </c>
      <c r="H16" s="23" t="n">
        <v>430000</v>
      </c>
      <c r="I16" s="23" t="n">
        <v>860</v>
      </c>
      <c r="J16" s="19" t="s">
        <v>55</v>
      </c>
      <c r="K16" s="19" t="s">
        <v>56</v>
      </c>
      <c r="L16" s="19" t="s">
        <v>67</v>
      </c>
      <c r="M16" s="19" t="s">
        <v>25</v>
      </c>
      <c r="N16" s="22" t="s">
        <v>85</v>
      </c>
      <c r="O16" s="19"/>
      <c r="P16" s="19" t="str">
        <f aca="false">IFERROR(IF(K16="Completed",IF(O16&lt;="","",IF(O16&lt;=C16,"✔ Yes","✘ No")),"—"),"")</f>
        <v>—</v>
      </c>
    </row>
    <row r="17" customFormat="false" ht="21.75" hidden="false" customHeight="true" outlineLevel="0" collapsed="false">
      <c r="A17" s="10" t="s">
        <v>86</v>
      </c>
      <c r="B17" s="11" t="n">
        <v>45712</v>
      </c>
      <c r="C17" s="11" t="n">
        <v>45720</v>
      </c>
      <c r="D17" s="12" t="n">
        <f aca="true">IFERROR(IF(K17="Completed","Done",C17-TODAY()),"")</f>
        <v>-361</v>
      </c>
      <c r="E17" s="13" t="s">
        <v>43</v>
      </c>
      <c r="F17" s="13" t="s">
        <v>87</v>
      </c>
      <c r="G17" s="13" t="s">
        <v>88</v>
      </c>
      <c r="H17" s="14" t="n">
        <v>220000</v>
      </c>
      <c r="I17" s="14" t="n">
        <v>440</v>
      </c>
      <c r="J17" s="10" t="s">
        <v>22</v>
      </c>
      <c r="K17" s="10" t="s">
        <v>32</v>
      </c>
      <c r="L17" s="10" t="s">
        <v>24</v>
      </c>
      <c r="M17" s="10" t="s">
        <v>25</v>
      </c>
      <c r="N17" s="13" t="s">
        <v>89</v>
      </c>
      <c r="O17" s="10"/>
      <c r="P17" s="10" t="str">
        <f aca="false">IFERROR(IF(K17="Completed",IF(O17&lt;="","",IF(O17&lt;=C17,"✔ Yes","✘ No")),"—"),"")</f>
        <v>—</v>
      </c>
    </row>
    <row r="18" customFormat="false" ht="21.75" hidden="false" customHeight="true" outlineLevel="0" collapsed="false">
      <c r="A18" s="5" t="s">
        <v>90</v>
      </c>
      <c r="B18" s="6" t="n">
        <v>45707</v>
      </c>
      <c r="C18" s="6" t="n">
        <v>45719</v>
      </c>
      <c r="D18" s="7" t="n">
        <f aca="true">IFERROR(IF(K18="Completed","Done",C18-TODAY()),"")</f>
        <v>-362</v>
      </c>
      <c r="E18" s="8" t="s">
        <v>48</v>
      </c>
      <c r="F18" s="8" t="s">
        <v>91</v>
      </c>
      <c r="G18" s="8" t="s">
        <v>92</v>
      </c>
      <c r="H18" s="9" t="n">
        <v>90000</v>
      </c>
      <c r="I18" s="9" t="n">
        <v>0</v>
      </c>
      <c r="J18" s="5" t="s">
        <v>31</v>
      </c>
      <c r="K18" s="5" t="s">
        <v>23</v>
      </c>
      <c r="L18" s="5" t="s">
        <v>40</v>
      </c>
      <c r="M18" s="5" t="s">
        <v>25</v>
      </c>
      <c r="N18" s="8" t="s">
        <v>93</v>
      </c>
      <c r="O18" s="5"/>
      <c r="P18" s="5" t="str">
        <f aca="false">IFERROR(IF(K18="Completed",IF(O18&lt;="","",IF(O18&lt;=C18,"✔ Yes","✘ No")),"—"),"")</f>
        <v>—</v>
      </c>
    </row>
    <row r="19" customFormat="false" ht="21.75" hidden="false" customHeight="true" outlineLevel="0" collapsed="false">
      <c r="A19" s="19" t="s">
        <v>94</v>
      </c>
      <c r="B19" s="20" t="n">
        <v>45716</v>
      </c>
      <c r="C19" s="20" t="n">
        <v>45736</v>
      </c>
      <c r="D19" s="21" t="n">
        <f aca="true">IFERROR(IF(K19="Completed","Done",C19-TODAY()),"")</f>
        <v>-345</v>
      </c>
      <c r="E19" s="22" t="s">
        <v>19</v>
      </c>
      <c r="F19" s="22" t="s">
        <v>95</v>
      </c>
      <c r="G19" s="22" t="s">
        <v>96</v>
      </c>
      <c r="H19" s="23" t="n">
        <v>800000</v>
      </c>
      <c r="I19" s="23" t="n">
        <v>1600</v>
      </c>
      <c r="J19" s="19" t="s">
        <v>38</v>
      </c>
      <c r="K19" s="19" t="s">
        <v>56</v>
      </c>
      <c r="L19" s="19" t="s">
        <v>67</v>
      </c>
      <c r="M19" s="19" t="s">
        <v>25</v>
      </c>
      <c r="N19" s="22" t="s">
        <v>97</v>
      </c>
      <c r="O19" s="19"/>
      <c r="P19" s="19" t="str">
        <f aca="false">IFERROR(IF(K19="Completed",IF(O19&lt;="","",IF(O19&lt;=C19,"✔ Yes","✘ No")),"—"),"")</f>
        <v>—</v>
      </c>
    </row>
    <row r="20" customFormat="false" ht="21.75" hidden="false" customHeight="true" outlineLevel="0" collapsed="false">
      <c r="A20" s="15" t="s">
        <v>98</v>
      </c>
      <c r="B20" s="16" t="n">
        <v>45704</v>
      </c>
      <c r="C20" s="16" t="n">
        <v>45714</v>
      </c>
      <c r="D20" s="15" t="str">
        <f aca="true">IFERROR(IF(K20="Completed","Done",C20-TODAY()),"")</f>
        <v>Done</v>
      </c>
      <c r="E20" s="17" t="s">
        <v>28</v>
      </c>
      <c r="F20" s="17" t="s">
        <v>99</v>
      </c>
      <c r="G20" s="17" t="s">
        <v>100</v>
      </c>
      <c r="H20" s="18" t="n">
        <v>1750000</v>
      </c>
      <c r="I20" s="18" t="n">
        <v>4375</v>
      </c>
      <c r="J20" s="15" t="s">
        <v>55</v>
      </c>
      <c r="K20" s="15" t="s">
        <v>39</v>
      </c>
      <c r="L20" s="15" t="s">
        <v>24</v>
      </c>
      <c r="M20" s="15" t="s">
        <v>25</v>
      </c>
      <c r="N20" s="17" t="s">
        <v>101</v>
      </c>
      <c r="O20" s="16" t="n">
        <v>45713</v>
      </c>
      <c r="P20" s="15" t="str">
        <f aca="false">IFERROR(IF(K20="Completed",IF(O20&lt;="","",IF(O20&lt;=C20,"✔ Yes","✘ No")),"—"),"")</f>
        <v/>
      </c>
    </row>
    <row r="21" customFormat="false" ht="21.75" hidden="false" customHeight="true" outlineLevel="0" collapsed="false">
      <c r="A21" s="5" t="s">
        <v>102</v>
      </c>
      <c r="B21" s="6" t="n">
        <v>45714</v>
      </c>
      <c r="C21" s="6" t="n">
        <v>45725</v>
      </c>
      <c r="D21" s="7" t="n">
        <f aca="true">IFERROR(IF(K21="Completed","Done",C21-TODAY()),"")</f>
        <v>-356</v>
      </c>
      <c r="E21" s="8" t="s">
        <v>70</v>
      </c>
      <c r="F21" s="8" t="s">
        <v>103</v>
      </c>
      <c r="G21" s="8" t="s">
        <v>104</v>
      </c>
      <c r="H21" s="9" t="n">
        <v>560000</v>
      </c>
      <c r="I21" s="9" t="n">
        <v>1120</v>
      </c>
      <c r="J21" s="5" t="s">
        <v>22</v>
      </c>
      <c r="K21" s="5" t="s">
        <v>23</v>
      </c>
      <c r="L21" s="5" t="s">
        <v>40</v>
      </c>
      <c r="M21" s="5" t="s">
        <v>25</v>
      </c>
      <c r="N21" s="8" t="s">
        <v>105</v>
      </c>
      <c r="O21" s="5"/>
      <c r="P21" s="5" t="str">
        <f aca="false">IFERROR(IF(K21="Completed",IF(O21&lt;="","",IF(O21&lt;=C21,"✔ Yes","✘ No")),"—"),"")</f>
        <v>—</v>
      </c>
    </row>
    <row r="22" customFormat="false" ht="21.75" hidden="false" customHeight="true" outlineLevel="0" collapsed="false">
      <c r="A22" s="5" t="s">
        <v>106</v>
      </c>
      <c r="B22" s="6" t="n">
        <v>45713</v>
      </c>
      <c r="C22" s="6" t="n">
        <v>45727</v>
      </c>
      <c r="D22" s="7" t="n">
        <f aca="true">IFERROR(IF(K22="Completed","Done",C22-TODAY()),"")</f>
        <v>-354</v>
      </c>
      <c r="E22" s="8" t="s">
        <v>64</v>
      </c>
      <c r="F22" s="8" t="s">
        <v>107</v>
      </c>
      <c r="G22" s="8" t="s">
        <v>108</v>
      </c>
      <c r="H22" s="9" t="n">
        <v>130000</v>
      </c>
      <c r="I22" s="9" t="n">
        <v>0</v>
      </c>
      <c r="J22" s="5" t="s">
        <v>31</v>
      </c>
      <c r="K22" s="5" t="s">
        <v>23</v>
      </c>
      <c r="L22" s="5" t="s">
        <v>67</v>
      </c>
      <c r="M22" s="5" t="s">
        <v>25</v>
      </c>
      <c r="N22" s="8" t="s">
        <v>109</v>
      </c>
      <c r="O22" s="5"/>
      <c r="P22" s="5" t="str">
        <f aca="false">IFERROR(IF(K22="Completed",IF(O22&lt;="","",IF(O22&lt;=C22,"✔ Yes","✘ No")),"—"),"")</f>
        <v>—</v>
      </c>
    </row>
    <row r="23" customFormat="false" ht="21.75" hidden="false" customHeight="true" outlineLevel="0" collapsed="false">
      <c r="A23" s="19" t="s">
        <v>110</v>
      </c>
      <c r="B23" s="20" t="n">
        <v>45716</v>
      </c>
      <c r="C23" s="20" t="n">
        <v>45722</v>
      </c>
      <c r="D23" s="21" t="n">
        <f aca="true">IFERROR(IF(K23="Completed","Done",C23-TODAY()),"")</f>
        <v>-359</v>
      </c>
      <c r="E23" s="22" t="s">
        <v>19</v>
      </c>
      <c r="F23" s="22" t="s">
        <v>111</v>
      </c>
      <c r="G23" s="22" t="s">
        <v>112</v>
      </c>
      <c r="H23" s="23" t="n">
        <v>310000</v>
      </c>
      <c r="I23" s="23" t="n">
        <v>620</v>
      </c>
      <c r="J23" s="19" t="s">
        <v>55</v>
      </c>
      <c r="K23" s="19" t="s">
        <v>56</v>
      </c>
      <c r="L23" s="19" t="s">
        <v>24</v>
      </c>
      <c r="M23" s="19" t="s">
        <v>25</v>
      </c>
      <c r="N23" s="22" t="s">
        <v>113</v>
      </c>
      <c r="O23" s="19"/>
      <c r="P23" s="19" t="str">
        <f aca="false">IFERROR(IF(K23="Completed",IF(O23&lt;="","",IF(O23&lt;=C23,"✔ Yes","✘ No")),"—"),"")</f>
        <v>—</v>
      </c>
    </row>
    <row r="24" customFormat="false" ht="21.75" hidden="false" customHeight="true" outlineLevel="0" collapsed="false">
      <c r="A24" s="10" t="s">
        <v>114</v>
      </c>
      <c r="B24" s="11" t="n">
        <v>45710</v>
      </c>
      <c r="C24" s="11" t="n">
        <v>45721</v>
      </c>
      <c r="D24" s="12" t="n">
        <f aca="true">IFERROR(IF(K24="Completed","Done",C24-TODAY()),"")</f>
        <v>-360</v>
      </c>
      <c r="E24" s="13" t="s">
        <v>28</v>
      </c>
      <c r="F24" s="13" t="s">
        <v>115</v>
      </c>
      <c r="G24" s="13" t="s">
        <v>116</v>
      </c>
      <c r="H24" s="14" t="n">
        <v>970000</v>
      </c>
      <c r="I24" s="14" t="n">
        <v>2425</v>
      </c>
      <c r="J24" s="10" t="s">
        <v>38</v>
      </c>
      <c r="K24" s="10" t="s">
        <v>32</v>
      </c>
      <c r="L24" s="10" t="s">
        <v>24</v>
      </c>
      <c r="M24" s="10" t="s">
        <v>25</v>
      </c>
      <c r="N24" s="13" t="s">
        <v>117</v>
      </c>
      <c r="O24" s="10"/>
      <c r="P24" s="10" t="str">
        <f aca="false">IFERROR(IF(K24="Completed",IF(O24&lt;="","",IF(O24&lt;=C24,"✔ Yes","✘ No")),"—"),"")</f>
        <v>—</v>
      </c>
    </row>
  </sheetData>
  <mergeCells count="2">
    <mergeCell ref="A1:P1"/>
    <mergeCell ref="A2:P2"/>
  </mergeCells>
  <conditionalFormatting sqref="K5:K24">
    <cfRule type="cellIs" priority="2" operator="equal" aboveAverage="0" equalAverage="0" bottom="0" percent="0" rank="0" text="" dxfId="0">
      <formula>"Overdue"</formula>
    </cfRule>
    <cfRule type="cellIs" priority="3" operator="equal" aboveAverage="0" equalAverage="0" bottom="0" percent="0" rank="0" text="" dxfId="1">
      <formula>"Completed"</formula>
    </cfRule>
  </conditionalFormatting>
  <conditionalFormatting sqref="D5:D24">
    <cfRule type="colorScale" priority="4">
      <colorScale>
        <cfvo type="num" val="0"/>
        <cfvo type="num" val="7"/>
        <cfvo type="num" val="30"/>
        <color rgb="FFFF0000"/>
        <color rgb="FFFFEB84"/>
        <color rgb="FF63BE7B"/>
      </colorScale>
    </cfRule>
  </conditionalFormatting>
  <dataValidations count="3">
    <dataValidation allowBlank="true" errorStyle="stop" operator="between" showDropDown="false" showErrorMessage="false" showInputMessage="false" sqref="K5:K24" type="list">
      <formula1>"New,In Progress,Pending Info,Completed,Overdue"</formula1>
      <formula2>0</formula2>
    </dataValidation>
    <dataValidation allowBlank="true" errorStyle="stop" operator="between" showDropDown="false" showErrorMessage="false" showInputMessage="false" sqref="L5:L24" type="list">
      <formula1>"High,Medium,Low"</formula1>
      <formula2>0</formula2>
    </dataValidation>
    <dataValidation allowBlank="true" errorStyle="stop" operator="between" showDropDown="false" showErrorMessage="false" showInputMessage="false" sqref="E5:E24" type="list">
      <formula1>"Bid Bond,Final Bond,Rider,Consent,Release,Cancellation,Premium Adj."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12" min="8" style="0" width="16"/>
  </cols>
  <sheetData>
    <row r="1" customFormat="false" ht="33.75" hidden="false" customHeight="true" outlineLevel="0" collapsed="false">
      <c r="A1" s="29" t="s">
        <v>118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customFormat="false" ht="18" hidden="false" customHeight="true" outlineLevel="0" collapsed="false">
      <c r="A2" s="30" t="s">
        <v>119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customFormat="false" ht="15.75" hidden="false" customHeight="true" outlineLevel="0" collapsed="false">
      <c r="A4" s="31" t="s">
        <v>120</v>
      </c>
      <c r="B4" s="31"/>
      <c r="C4" s="31"/>
      <c r="D4" s="31"/>
      <c r="E4" s="32" t="s">
        <v>121</v>
      </c>
      <c r="F4" s="32"/>
      <c r="G4" s="32"/>
      <c r="H4" s="32"/>
      <c r="I4" s="33" t="s">
        <v>39</v>
      </c>
      <c r="J4" s="33"/>
      <c r="K4" s="33"/>
      <c r="L4" s="33"/>
    </row>
    <row r="5" customFormat="false" ht="36" hidden="false" customHeight="true" outlineLevel="0" collapsed="false">
      <c r="A5" s="31"/>
      <c r="B5" s="31"/>
      <c r="C5" s="31"/>
      <c r="D5" s="31"/>
      <c r="E5" s="32"/>
      <c r="F5" s="32"/>
      <c r="G5" s="32"/>
      <c r="H5" s="32"/>
      <c r="I5" s="33"/>
      <c r="J5" s="33"/>
      <c r="K5" s="33"/>
      <c r="L5" s="33"/>
    </row>
    <row r="6" customFormat="false" ht="15.75" hidden="false" customHeight="true" outlineLevel="0" collapsed="false">
      <c r="A6" s="34" t="n">
        <f aca="false">COUNTA('Bond Queue Tracker'!A5:A24)</f>
        <v>20</v>
      </c>
      <c r="B6" s="34"/>
      <c r="C6" s="34"/>
      <c r="D6" s="34"/>
      <c r="E6" s="35" t="n">
        <f aca="false">COUNTIF('Bond Queue Tracker'!K5:K24,"In Progress")+COUNTIF('Bond Queue Tracker'!K5:K24,"New")+COUNTIF('Bond Queue Tracker'!K5:K24,"Pending Info")</f>
        <v>15</v>
      </c>
      <c r="F6" s="35"/>
      <c r="G6" s="35"/>
      <c r="H6" s="35"/>
      <c r="I6" s="36" t="n">
        <f aca="false">COUNTIF('Bond Queue Tracker'!K5:K24,"Completed")</f>
        <v>4</v>
      </c>
      <c r="J6" s="36"/>
      <c r="K6" s="36"/>
      <c r="L6" s="36"/>
    </row>
    <row r="7" customFormat="false" ht="15" hidden="false" customHeight="false" outlineLevel="0" collapsed="false">
      <c r="A7" s="34"/>
      <c r="B7" s="34"/>
      <c r="C7" s="34"/>
      <c r="D7" s="34"/>
      <c r="E7" s="35"/>
      <c r="F7" s="35"/>
      <c r="G7" s="35"/>
      <c r="H7" s="35"/>
      <c r="I7" s="36"/>
      <c r="J7" s="36"/>
      <c r="K7" s="36"/>
      <c r="L7" s="36"/>
    </row>
    <row r="8" customFormat="false" ht="15" hidden="false" customHeight="false" outlineLevel="0" collapsed="false">
      <c r="A8" s="34"/>
      <c r="B8" s="34"/>
      <c r="C8" s="34"/>
      <c r="D8" s="34"/>
      <c r="E8" s="35"/>
      <c r="F8" s="35"/>
      <c r="G8" s="35"/>
      <c r="H8" s="35"/>
      <c r="I8" s="36"/>
      <c r="J8" s="36"/>
      <c r="K8" s="36"/>
      <c r="L8" s="36"/>
    </row>
    <row r="9" customFormat="false" ht="13.5" hidden="false" customHeight="true" outlineLevel="0" collapsed="false"/>
    <row r="10" customFormat="false" ht="21.75" hidden="false" customHeight="true" outlineLevel="0" collapsed="false">
      <c r="A10" s="37" t="s">
        <v>122</v>
      </c>
      <c r="B10" s="37"/>
      <c r="C10" s="37"/>
      <c r="D10" s="37"/>
      <c r="E10" s="37"/>
      <c r="F10" s="37"/>
      <c r="H10" s="37" t="s">
        <v>123</v>
      </c>
      <c r="I10" s="37"/>
      <c r="J10" s="37"/>
      <c r="K10" s="37"/>
      <c r="L10" s="37"/>
    </row>
    <row r="11" customFormat="false" ht="21.75" hidden="false" customHeight="true" outlineLevel="0" collapsed="false">
      <c r="A11" s="38" t="s">
        <v>12</v>
      </c>
      <c r="B11" s="38" t="s">
        <v>124</v>
      </c>
      <c r="C11" s="38" t="s">
        <v>125</v>
      </c>
      <c r="D11" s="38" t="s">
        <v>126</v>
      </c>
      <c r="E11" s="38" t="s">
        <v>127</v>
      </c>
      <c r="F11" s="38" t="s">
        <v>128</v>
      </c>
      <c r="H11" s="38" t="s">
        <v>6</v>
      </c>
      <c r="I11" s="38" t="s">
        <v>124</v>
      </c>
      <c r="J11" s="38" t="s">
        <v>129</v>
      </c>
      <c r="K11" s="38" t="s">
        <v>130</v>
      </c>
      <c r="L11" s="38" t="s">
        <v>131</v>
      </c>
    </row>
    <row r="12" customFormat="false" ht="19.5" hidden="false" customHeight="true" outlineLevel="0" collapsed="false">
      <c r="A12" s="39" t="s">
        <v>56</v>
      </c>
      <c r="B12" s="39" t="n">
        <f aca="false">COUNTIF('Bond Queue Tracker'!K5:K24,"New")</f>
        <v>5</v>
      </c>
      <c r="C12" s="40" t="n">
        <f aca="false">IFERROR(B12/COUNTA('Bond Queue Tracker'!K5:K24),0)</f>
        <v>0.25</v>
      </c>
      <c r="D12" s="41" t="n">
        <f aca="false">IFERROR(AVERAGEIF('Bond Queue Tracker'!K5:K24,"New",'Bond Queue Tracker'!D5:D24),"N/A")</f>
        <v>-351.6</v>
      </c>
      <c r="E12" s="42" t="n">
        <f aca="false">SUMIF('Bond Queue Tracker'!K5:K24,"New",'Bond Queue Tracker'!I5:I24)</f>
        <v>3880</v>
      </c>
      <c r="F12" s="43" t="s">
        <v>132</v>
      </c>
      <c r="H12" s="44" t="s">
        <v>19</v>
      </c>
      <c r="I12" s="45" t="n">
        <f aca="false">COUNTIF('Bond Queue Tracker'!E5:E24,"Bid Bond")</f>
        <v>5</v>
      </c>
      <c r="J12" s="46" t="n">
        <f aca="false">SUMIF('Bond Queue Tracker'!E5:E24,"Bid Bond",'Bond Queue Tracker'!H5:H24)</f>
        <v>1935000</v>
      </c>
      <c r="K12" s="46" t="n">
        <f aca="false">IFERROR(AVERAGEIF('Bond Queue Tracker'!E5:E24,"Bid Bond",'Bond Queue Tracker'!I5:I24),0)</f>
        <v>774</v>
      </c>
      <c r="L12" s="47" t="n">
        <f aca="false">IFERROR(I12/COUNTA('Bond Queue Tracker'!E5:E24),0)</f>
        <v>0.25</v>
      </c>
    </row>
    <row r="13" customFormat="false" ht="19.5" hidden="false" customHeight="true" outlineLevel="0" collapsed="false">
      <c r="A13" s="48" t="s">
        <v>23</v>
      </c>
      <c r="B13" s="48" t="n">
        <f aca="false">COUNTIF('Bond Queue Tracker'!K5:K24,"In Progress")</f>
        <v>7</v>
      </c>
      <c r="C13" s="49" t="n">
        <f aca="false">IFERROR(B13/COUNTA('Bond Queue Tracker'!K5:K24),0)</f>
        <v>0.35</v>
      </c>
      <c r="D13" s="50" t="n">
        <f aca="false">IFERROR(AVERAGEIF('Bond Queue Tracker'!K5:K24,"In Progress",'Bond Queue Tracker'!D5:D24),"N/A")</f>
        <v>-358</v>
      </c>
      <c r="E13" s="51" t="n">
        <f aca="false">SUMIF('Bond Queue Tracker'!K5:K24,"In Progress",'Bond Queue Tracker'!I5:I24)</f>
        <v>4870</v>
      </c>
      <c r="F13" s="52" t="s">
        <v>132</v>
      </c>
      <c r="H13" s="53" t="s">
        <v>28</v>
      </c>
      <c r="I13" s="54" t="n">
        <f aca="false">COUNTIF('Bond Queue Tracker'!E5:E24,"Final Bond")</f>
        <v>5</v>
      </c>
      <c r="J13" s="55" t="n">
        <f aca="false">SUMIF('Bond Queue Tracker'!E5:E24,"Final Bond",'Bond Queue Tracker'!H5:H24)</f>
        <v>7040000</v>
      </c>
      <c r="K13" s="55" t="n">
        <f aca="false">IFERROR(AVERAGEIF('Bond Queue Tracker'!E5:E24,"Final Bond",'Bond Queue Tracker'!I5:I24),0)</f>
        <v>3400</v>
      </c>
      <c r="L13" s="56" t="n">
        <f aca="false">IFERROR(I13/COUNTA('Bond Queue Tracker'!E5:E24),0)</f>
        <v>0.25</v>
      </c>
    </row>
    <row r="14" customFormat="false" ht="19.5" hidden="false" customHeight="true" outlineLevel="0" collapsed="false">
      <c r="A14" s="57" t="s">
        <v>32</v>
      </c>
      <c r="B14" s="57" t="n">
        <f aca="false">COUNTIF('Bond Queue Tracker'!K5:K24,"Pending Info")</f>
        <v>3</v>
      </c>
      <c r="C14" s="58" t="n">
        <f aca="false">IFERROR(B14/COUNTA('Bond Queue Tracker'!K5:K24),0)</f>
        <v>0.15</v>
      </c>
      <c r="D14" s="59" t="n">
        <f aca="false">IFERROR(AVERAGEIF('Bond Queue Tracker'!K5:K24,"Pending Info",'Bond Queue Tracker'!D5:D24),"N/A")</f>
        <v>-361</v>
      </c>
      <c r="E14" s="60" t="n">
        <f aca="false">SUMIF('Bond Queue Tracker'!K5:K24,"Pending Info",'Bond Queue Tracker'!I5:I24)</f>
        <v>5265</v>
      </c>
      <c r="F14" s="61" t="s">
        <v>132</v>
      </c>
      <c r="H14" s="44" t="s">
        <v>35</v>
      </c>
      <c r="I14" s="45" t="n">
        <f aca="false">COUNTIF('Bond Queue Tracker'!E5:E24,"Rider")</f>
        <v>2</v>
      </c>
      <c r="J14" s="46" t="n">
        <f aca="false">SUMIF('Bond Queue Tracker'!E5:E24,"Rider",'Bond Queue Tracker'!H5:H24)</f>
        <v>510000</v>
      </c>
      <c r="K14" s="46" t="n">
        <f aca="false">IFERROR(AVERAGEIF('Bond Queue Tracker'!E5:E24,"Rider",'Bond Queue Tracker'!I5:I24),0)</f>
        <v>510</v>
      </c>
      <c r="L14" s="47" t="n">
        <f aca="false">IFERROR(I14/COUNTA('Bond Queue Tracker'!E5:E24),0)</f>
        <v>0.1</v>
      </c>
    </row>
    <row r="15" customFormat="false" ht="19.5" hidden="false" customHeight="true" outlineLevel="0" collapsed="false">
      <c r="A15" s="62" t="s">
        <v>39</v>
      </c>
      <c r="B15" s="62" t="n">
        <f aca="false">COUNTIF('Bond Queue Tracker'!K5:K24,"Completed")</f>
        <v>4</v>
      </c>
      <c r="C15" s="63" t="n">
        <f aca="false">IFERROR(B15/COUNTA('Bond Queue Tracker'!K5:K24),0)</f>
        <v>0.2</v>
      </c>
      <c r="D15" s="64" t="s">
        <v>133</v>
      </c>
      <c r="E15" s="65" t="n">
        <f aca="false">SUMIF('Bond Queue Tracker'!K5:K24,"Completed",'Bond Queue Tracker'!I5:I24)</f>
        <v>6085</v>
      </c>
      <c r="F15" s="66" t="s">
        <v>132</v>
      </c>
      <c r="H15" s="53" t="s">
        <v>43</v>
      </c>
      <c r="I15" s="54" t="n">
        <f aca="false">COUNTIF('Bond Queue Tracker'!E5:E24,"Consent")</f>
        <v>2</v>
      </c>
      <c r="J15" s="55" t="n">
        <f aca="false">SUMIF('Bond Queue Tracker'!E5:E24,"Consent",'Bond Queue Tracker'!H5:H24)</f>
        <v>720000</v>
      </c>
      <c r="K15" s="55" t="n">
        <f aca="false">IFERROR(AVERAGEIF('Bond Queue Tracker'!E5:E24,"Consent",'Bond Queue Tracker'!I5:I24),0)</f>
        <v>720</v>
      </c>
      <c r="L15" s="56" t="n">
        <f aca="false">IFERROR(I15/COUNTA('Bond Queue Tracker'!E5:E24),0)</f>
        <v>0.1</v>
      </c>
    </row>
    <row r="16" customFormat="false" ht="19.5" hidden="false" customHeight="true" outlineLevel="0" collapsed="false">
      <c r="A16" s="67" t="s">
        <v>61</v>
      </c>
      <c r="B16" s="67" t="n">
        <f aca="false">COUNTIF('Bond Queue Tracker'!K5:K24,"Overdue")</f>
        <v>1</v>
      </c>
      <c r="C16" s="68" t="n">
        <f aca="false">IFERROR(B16/COUNTA('Bond Queue Tracker'!K5:K24),0)</f>
        <v>0.05</v>
      </c>
      <c r="D16" s="69" t="n">
        <f aca="false">IFERROR(AVERAGEIF('Bond Queue Tracker'!K5:K24,"Overdue",'Bond Queue Tracker'!D5:D24),"N/A")</f>
        <v>-364</v>
      </c>
      <c r="E16" s="70" t="n">
        <f aca="false">SUMIF('Bond Queue Tracker'!K5:K24,"Overdue",'Bond Queue Tracker'!I5:I24)</f>
        <v>6250</v>
      </c>
      <c r="F16" s="71" t="s">
        <v>132</v>
      </c>
      <c r="H16" s="44" t="s">
        <v>64</v>
      </c>
      <c r="I16" s="45" t="n">
        <f aca="false">COUNTIF('Bond Queue Tracker'!E5:E24,"Release")</f>
        <v>2</v>
      </c>
      <c r="J16" s="46" t="n">
        <f aca="false">SUMIF('Bond Queue Tracker'!E5:E24,"Release",'Bond Queue Tracker'!H5:H24)</f>
        <v>430000</v>
      </c>
      <c r="K16" s="46" t="n">
        <f aca="false">IFERROR(AVERAGEIF('Bond Queue Tracker'!E5:E24,"Release",'Bond Queue Tracker'!I5:I24),0)</f>
        <v>0</v>
      </c>
      <c r="L16" s="47" t="n">
        <f aca="false">IFERROR(I16/COUNTA('Bond Queue Tracker'!E5:E24),0)</f>
        <v>0.1</v>
      </c>
    </row>
    <row r="17" customFormat="false" ht="19.5" hidden="false" customHeight="true" outlineLevel="0" collapsed="false">
      <c r="H17" s="53" t="s">
        <v>48</v>
      </c>
      <c r="I17" s="54" t="n">
        <f aca="false">COUNTIF('Bond Queue Tracker'!E5:E24,"Cancellation")</f>
        <v>2</v>
      </c>
      <c r="J17" s="55" t="n">
        <f aca="false">SUMIF('Bond Queue Tracker'!E5:E24,"Cancellation",'Bond Queue Tracker'!H5:H24)</f>
        <v>240000</v>
      </c>
      <c r="K17" s="55" t="n">
        <f aca="false">IFERROR(AVERAGEIF('Bond Queue Tracker'!E5:E24,"Cancellation",'Bond Queue Tracker'!I5:I24),0)</f>
        <v>0</v>
      </c>
      <c r="L17" s="56" t="n">
        <f aca="false">IFERROR(I17/COUNTA('Bond Queue Tracker'!E5:E24),0)</f>
        <v>0.1</v>
      </c>
    </row>
    <row r="18" customFormat="false" ht="19.5" hidden="false" customHeight="true" outlineLevel="0" collapsed="false">
      <c r="H18" s="44" t="s">
        <v>70</v>
      </c>
      <c r="I18" s="45" t="n">
        <f aca="false">COUNTIF('Bond Queue Tracker'!E5:E24,"Premium Adj.")</f>
        <v>2</v>
      </c>
      <c r="J18" s="46" t="n">
        <f aca="false">SUMIF('Bond Queue Tracker'!E5:E24,"Premium Adj.",'Bond Queue Tracker'!H5:H24)</f>
        <v>1510000</v>
      </c>
      <c r="K18" s="46" t="n">
        <f aca="false">IFERROR(AVERAGEIF('Bond Queue Tracker'!E5:E24,"Premium Adj.",'Bond Queue Tracker'!I5:I24),0)</f>
        <v>1510</v>
      </c>
      <c r="L18" s="47" t="n">
        <f aca="false">IFERROR(I18/COUNTA('Bond Queue Tracker'!E5:E24),0)</f>
        <v>0.1</v>
      </c>
    </row>
    <row r="19" customFormat="false" ht="15" hidden="false" customHeight="true" outlineLevel="0" collapsed="false">
      <c r="A19" s="37" t="s">
        <v>134</v>
      </c>
      <c r="B19" s="37"/>
      <c r="C19" s="37"/>
      <c r="D19" s="37"/>
      <c r="E19" s="37"/>
      <c r="F19" s="37"/>
    </row>
    <row r="20" customFormat="false" ht="21.75" hidden="false" customHeight="true" outlineLevel="0" collapsed="false">
      <c r="A20" s="38" t="s">
        <v>11</v>
      </c>
      <c r="B20" s="38" t="s">
        <v>135</v>
      </c>
      <c r="C20" s="38" t="s">
        <v>136</v>
      </c>
      <c r="D20" s="38" t="s">
        <v>39</v>
      </c>
      <c r="E20" s="38" t="s">
        <v>61</v>
      </c>
      <c r="F20" s="38" t="s">
        <v>137</v>
      </c>
    </row>
    <row r="21" customFormat="false" ht="19.5" hidden="false" customHeight="true" outlineLevel="0" collapsed="false">
      <c r="A21" s="53" t="s">
        <v>22</v>
      </c>
      <c r="B21" s="54" t="n">
        <f aca="false">COUNTIF('Bond Queue Tracker'!J5:J24,"Maria Lopez")</f>
        <v>5</v>
      </c>
      <c r="C21" s="54" t="n">
        <f aca="false">COUNTIFS('Bond Queue Tracker'!J5:J24,"Maria Lopez",'Bond Queue Tracker'!K5:K24,"In Progress")+COUNTIFS('Bond Queue Tracker'!J5:J24,"Maria Lopez",'Bond Queue Tracker'!K5:K24,"New")+COUNTIFS('Bond Queue Tracker'!J5:J24,"Maria Lopez",'Bond Queue Tracker'!K5:K24,"Pending Info")</f>
        <v>5</v>
      </c>
      <c r="D21" s="54" t="n">
        <f aca="false">COUNTIFS('Bond Queue Tracker'!J5:J24,"Maria Lopez",'Bond Queue Tracker'!K5:K24,"Completed")</f>
        <v>0</v>
      </c>
      <c r="E21" s="54" t="n">
        <f aca="false">COUNTIFS('Bond Queue Tracker'!J5:J24,"Maria Lopez",'Bond Queue Tracker'!K5:K24,"Overdue")</f>
        <v>0</v>
      </c>
      <c r="F21" s="56" t="n">
        <f aca="false">IFERROR(D21/B21,0)</f>
        <v>0</v>
      </c>
    </row>
    <row r="22" customFormat="false" ht="19.5" hidden="false" customHeight="true" outlineLevel="0" collapsed="false">
      <c r="A22" s="44" t="s">
        <v>31</v>
      </c>
      <c r="B22" s="45" t="n">
        <f aca="false">COUNTIF('Bond Queue Tracker'!J5:J24,"James Carter")</f>
        <v>5</v>
      </c>
      <c r="C22" s="45" t="n">
        <f aca="false">COUNTIFS('Bond Queue Tracker'!J5:J24,"James Carter",'Bond Queue Tracker'!K5:K24,"In Progress")+COUNTIFS('Bond Queue Tracker'!J5:J24,"James Carter",'Bond Queue Tracker'!K5:K24,"New")+COUNTIFS('Bond Queue Tracker'!J5:J24,"James Carter",'Bond Queue Tracker'!K5:K24,"Pending Info")</f>
        <v>4</v>
      </c>
      <c r="D22" s="45" t="n">
        <f aca="false">COUNTIFS('Bond Queue Tracker'!J5:J24,"James Carter",'Bond Queue Tracker'!K5:K24,"Completed")</f>
        <v>1</v>
      </c>
      <c r="E22" s="45" t="n">
        <f aca="false">COUNTIFS('Bond Queue Tracker'!J5:J24,"James Carter",'Bond Queue Tracker'!K5:K24,"Overdue")</f>
        <v>0</v>
      </c>
      <c r="F22" s="47" t="n">
        <f aca="false">IFERROR(D22/B22,0)</f>
        <v>0.2</v>
      </c>
    </row>
    <row r="23" customFormat="false" ht="19.5" hidden="false" customHeight="true" outlineLevel="0" collapsed="false">
      <c r="A23" s="53" t="s">
        <v>38</v>
      </c>
      <c r="B23" s="54" t="n">
        <f aca="false">COUNTIF('Bond Queue Tracker'!J5:J24,"Sarah Kim")</f>
        <v>5</v>
      </c>
      <c r="C23" s="54" t="n">
        <f aca="false">COUNTIFS('Bond Queue Tracker'!J5:J24,"Sarah Kim",'Bond Queue Tracker'!K5:K24,"In Progress")+COUNTIFS('Bond Queue Tracker'!J5:J24,"Sarah Kim",'Bond Queue Tracker'!K5:K24,"New")+COUNTIFS('Bond Queue Tracker'!J5:J24,"Sarah Kim",'Bond Queue Tracker'!K5:K24,"Pending Info")</f>
        <v>2</v>
      </c>
      <c r="D23" s="54" t="n">
        <f aca="false">COUNTIFS('Bond Queue Tracker'!J5:J24,"Sarah Kim",'Bond Queue Tracker'!K5:K24,"Completed")</f>
        <v>2</v>
      </c>
      <c r="E23" s="54" t="n">
        <f aca="false">COUNTIFS('Bond Queue Tracker'!J5:J24,"Sarah Kim",'Bond Queue Tracker'!K5:K24,"Overdue")</f>
        <v>1</v>
      </c>
      <c r="F23" s="56" t="n">
        <f aca="false">IFERROR(D23/B23,0)</f>
        <v>0.4</v>
      </c>
    </row>
    <row r="24" customFormat="false" ht="19.5" hidden="false" customHeight="true" outlineLevel="0" collapsed="false">
      <c r="A24" s="44" t="s">
        <v>55</v>
      </c>
      <c r="B24" s="45" t="n">
        <f aca="false">COUNTIF('Bond Queue Tracker'!J5:J24,"Tom Nguyen")</f>
        <v>5</v>
      </c>
      <c r="C24" s="45" t="n">
        <f aca="false">COUNTIFS('Bond Queue Tracker'!J5:J24,"Tom Nguyen",'Bond Queue Tracker'!K5:K24,"In Progress")+COUNTIFS('Bond Queue Tracker'!J5:J24,"Tom Nguyen",'Bond Queue Tracker'!K5:K24,"New")+COUNTIFS('Bond Queue Tracker'!J5:J24,"Tom Nguyen",'Bond Queue Tracker'!K5:K24,"Pending Info")</f>
        <v>4</v>
      </c>
      <c r="D24" s="45" t="n">
        <f aca="false">COUNTIFS('Bond Queue Tracker'!J5:J24,"Tom Nguyen",'Bond Queue Tracker'!K5:K24,"Completed")</f>
        <v>1</v>
      </c>
      <c r="E24" s="45" t="n">
        <f aca="false">COUNTIFS('Bond Queue Tracker'!J5:J24,"Tom Nguyen",'Bond Queue Tracker'!K5:K24,"Overdue")</f>
        <v>0</v>
      </c>
      <c r="F24" s="47" t="n">
        <f aca="false">IFERROR(D24/B24,0)</f>
        <v>0.2</v>
      </c>
    </row>
    <row r="26" customFormat="false" ht="13.5" hidden="false" customHeight="true" outlineLevel="0" collapsed="false"/>
    <row r="27" customFormat="false" ht="15" hidden="false" customHeight="true" outlineLevel="0" collapsed="false">
      <c r="A27" s="72" t="s">
        <v>138</v>
      </c>
      <c r="B27" s="72"/>
      <c r="C27" s="72"/>
      <c r="D27" s="72"/>
      <c r="E27" s="72"/>
      <c r="F27" s="72"/>
    </row>
    <row r="28" customFormat="false" ht="19.5" hidden="false" customHeight="true" outlineLevel="0" collapsed="false">
      <c r="A28" s="73" t="s">
        <v>2</v>
      </c>
      <c r="B28" s="73" t="s">
        <v>139</v>
      </c>
      <c r="C28" s="73" t="s">
        <v>6</v>
      </c>
      <c r="D28" s="73" t="s">
        <v>4</v>
      </c>
      <c r="E28" s="73" t="s">
        <v>12</v>
      </c>
      <c r="F28" s="73" t="s">
        <v>5</v>
      </c>
    </row>
    <row r="29" customFormat="false" ht="18" hidden="false" customHeight="true" outlineLevel="0" collapsed="false">
      <c r="A29" s="57" t="s">
        <v>18</v>
      </c>
      <c r="B29" s="74" t="s">
        <v>20</v>
      </c>
      <c r="C29" s="74" t="s">
        <v>19</v>
      </c>
      <c r="D29" s="75" t="n">
        <v>45721</v>
      </c>
      <c r="E29" s="74" t="s">
        <v>23</v>
      </c>
      <c r="F29" s="76" t="n">
        <f aca="false">IFERROR(VLOOKUP(A29,'Bond Queue Tracker'!A:D,4,0),"")</f>
        <v>-360</v>
      </c>
    </row>
    <row r="30" customFormat="false" ht="18" hidden="false" customHeight="true" outlineLevel="0" collapsed="false">
      <c r="A30" s="57" t="s">
        <v>27</v>
      </c>
      <c r="B30" s="74" t="s">
        <v>29</v>
      </c>
      <c r="C30" s="74" t="s">
        <v>28</v>
      </c>
      <c r="D30" s="75" t="n">
        <v>45719</v>
      </c>
      <c r="E30" s="74" t="s">
        <v>32</v>
      </c>
      <c r="F30" s="76" t="n">
        <f aca="false">IFERROR(VLOOKUP(A30,'Bond Queue Tracker'!A:D,4,0),"")</f>
        <v>-362</v>
      </c>
    </row>
    <row r="31" customFormat="false" ht="18" hidden="false" customHeight="true" outlineLevel="0" collapsed="false">
      <c r="A31" s="57" t="s">
        <v>42</v>
      </c>
      <c r="B31" s="74" t="s">
        <v>44</v>
      </c>
      <c r="C31" s="74" t="s">
        <v>43</v>
      </c>
      <c r="D31" s="75" t="n">
        <v>45723</v>
      </c>
      <c r="E31" s="74" t="s">
        <v>23</v>
      </c>
      <c r="F31" s="76" t="n">
        <f aca="false">IFERROR(VLOOKUP(A31,'Bond Queue Tracker'!A:D,4,0),"")</f>
        <v>-358</v>
      </c>
    </row>
    <row r="32" customFormat="false" ht="18" hidden="false" customHeight="true" outlineLevel="0" collapsed="false">
      <c r="A32" s="77" t="s">
        <v>58</v>
      </c>
      <c r="B32" s="78" t="s">
        <v>59</v>
      </c>
      <c r="C32" s="78" t="s">
        <v>28</v>
      </c>
      <c r="D32" s="79" t="n">
        <v>45717</v>
      </c>
      <c r="E32" s="78" t="s">
        <v>61</v>
      </c>
      <c r="F32" s="80" t="n">
        <f aca="false">IFERROR(VLOOKUP(A32,'Bond Queue Tracker'!A:D,4,0),"")</f>
        <v>-364</v>
      </c>
    </row>
    <row r="33" customFormat="false" ht="18" hidden="false" customHeight="true" outlineLevel="0" collapsed="false">
      <c r="A33" s="57" t="s">
        <v>78</v>
      </c>
      <c r="B33" s="74" t="s">
        <v>79</v>
      </c>
      <c r="C33" s="74" t="s">
        <v>28</v>
      </c>
      <c r="D33" s="75" t="n">
        <v>45713</v>
      </c>
      <c r="E33" s="74" t="s">
        <v>39</v>
      </c>
      <c r="F33" s="76" t="str">
        <f aca="false">IFERROR(VLOOKUP(A33,'Bond Queue Tracker'!A:D,4,0),"")</f>
        <v>Done</v>
      </c>
    </row>
    <row r="34" customFormat="false" ht="18" hidden="false" customHeight="true" outlineLevel="0" collapsed="false">
      <c r="A34" s="57" t="s">
        <v>86</v>
      </c>
      <c r="B34" s="74" t="s">
        <v>87</v>
      </c>
      <c r="C34" s="74" t="s">
        <v>43</v>
      </c>
      <c r="D34" s="75" t="n">
        <v>45720</v>
      </c>
      <c r="E34" s="74" t="s">
        <v>32</v>
      </c>
      <c r="F34" s="76" t="n">
        <f aca="false">IFERROR(VLOOKUP(A34,'Bond Queue Tracker'!A:D,4,0),"")</f>
        <v>-361</v>
      </c>
    </row>
    <row r="35" customFormat="false" ht="18" hidden="false" customHeight="true" outlineLevel="0" collapsed="false">
      <c r="A35" s="57" t="s">
        <v>98</v>
      </c>
      <c r="B35" s="74" t="s">
        <v>99</v>
      </c>
      <c r="C35" s="74" t="s">
        <v>28</v>
      </c>
      <c r="D35" s="75" t="n">
        <v>45714</v>
      </c>
      <c r="E35" s="74" t="s">
        <v>39</v>
      </c>
      <c r="F35" s="76" t="str">
        <f aca="false">IFERROR(VLOOKUP(A35,'Bond Queue Tracker'!A:D,4,0),"")</f>
        <v>Done</v>
      </c>
    </row>
    <row r="36" customFormat="false" ht="18" hidden="false" customHeight="true" outlineLevel="0" collapsed="false">
      <c r="A36" s="57" t="s">
        <v>110</v>
      </c>
      <c r="B36" s="74" t="s">
        <v>111</v>
      </c>
      <c r="C36" s="74" t="s">
        <v>19</v>
      </c>
      <c r="D36" s="75" t="n">
        <v>45722</v>
      </c>
      <c r="E36" s="74" t="s">
        <v>56</v>
      </c>
      <c r="F36" s="76" t="n">
        <f aca="false">IFERROR(VLOOKUP(A36,'Bond Queue Tracker'!A:D,4,0),"")</f>
        <v>-359</v>
      </c>
    </row>
  </sheetData>
  <mergeCells count="12">
    <mergeCell ref="A1:L1"/>
    <mergeCell ref="A2:L2"/>
    <mergeCell ref="A4:D5"/>
    <mergeCell ref="E4:H5"/>
    <mergeCell ref="I4:L5"/>
    <mergeCell ref="A6:D8"/>
    <mergeCell ref="E6:H8"/>
    <mergeCell ref="I6:L8"/>
    <mergeCell ref="A10:F10"/>
    <mergeCell ref="H10:L10"/>
    <mergeCell ref="A19:F19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31.5" hidden="false" customHeight="true" outlineLevel="0" collapsed="false">
      <c r="A1" s="81" t="s">
        <v>140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customFormat="false" ht="18" hidden="false" customHeight="true" outlineLevel="0" collapsed="false">
      <c r="A2" s="30" t="s">
        <v>141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customFormat="false" ht="18" hidden="false" customHeight="true" outlineLevel="0" collapsed="false">
      <c r="A3" s="82" t="s">
        <v>142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customFormat="false" ht="27.75" hidden="false" customHeight="true" outlineLevel="0" collapsed="false">
      <c r="A4" s="83" t="s">
        <v>2</v>
      </c>
      <c r="B4" s="83" t="s">
        <v>7</v>
      </c>
      <c r="C4" s="83" t="s">
        <v>6</v>
      </c>
      <c r="D4" s="83" t="s">
        <v>143</v>
      </c>
      <c r="E4" s="83" t="s">
        <v>144</v>
      </c>
      <c r="F4" s="83" t="s">
        <v>145</v>
      </c>
      <c r="G4" s="83" t="s">
        <v>146</v>
      </c>
      <c r="H4" s="83" t="s">
        <v>147</v>
      </c>
      <c r="I4" s="83" t="s">
        <v>148</v>
      </c>
      <c r="J4" s="83" t="s">
        <v>149</v>
      </c>
      <c r="K4" s="83" t="s">
        <v>150</v>
      </c>
    </row>
    <row r="5" customFormat="false" ht="19.5" hidden="false" customHeight="true" outlineLevel="0" collapsed="false">
      <c r="A5" s="45" t="s">
        <v>18</v>
      </c>
      <c r="B5" s="45" t="s">
        <v>20</v>
      </c>
      <c r="C5" s="45" t="s">
        <v>19</v>
      </c>
      <c r="D5" s="46" t="n">
        <v>500</v>
      </c>
      <c r="E5" s="60" t="n">
        <v>500</v>
      </c>
      <c r="F5" s="84" t="str">
        <f aca="false">IF(D5=E5,"✔ Match","✘ Mismatch")</f>
        <v>✔ Match</v>
      </c>
      <c r="G5" s="46" t="n">
        <v>250000</v>
      </c>
      <c r="H5" s="60" t="n">
        <v>250000</v>
      </c>
      <c r="I5" s="84" t="str">
        <f aca="false">IF(G5=H5,"✔ Match","✘ Mismatch")</f>
        <v>✔ Match</v>
      </c>
      <c r="J5" s="84" t="str">
        <f aca="false">IF(AND(F5="✔ Match",I5="✔ Match"),"✔ OK","⚠ Review")</f>
        <v>✔ OK</v>
      </c>
      <c r="K5" s="85"/>
    </row>
    <row r="6" customFormat="false" ht="19.5" hidden="false" customHeight="true" outlineLevel="0" collapsed="false">
      <c r="A6" s="45" t="s">
        <v>27</v>
      </c>
      <c r="B6" s="45" t="s">
        <v>29</v>
      </c>
      <c r="C6" s="45" t="s">
        <v>28</v>
      </c>
      <c r="D6" s="46" t="n">
        <v>2400</v>
      </c>
      <c r="E6" s="60" t="n">
        <v>2600</v>
      </c>
      <c r="F6" s="84" t="str">
        <f aca="false">IF(D6=E6,"✔ Match","✘ Mismatch")</f>
        <v>✘ Mismatch</v>
      </c>
      <c r="G6" s="46" t="n">
        <v>1200000</v>
      </c>
      <c r="H6" s="60" t="n">
        <v>1200000</v>
      </c>
      <c r="I6" s="84" t="str">
        <f aca="false">IF(G6=H6,"✔ Match","✘ Mismatch")</f>
        <v>✔ Match</v>
      </c>
      <c r="J6" s="84" t="str">
        <f aca="false">IF(AND(F6="✔ Match",I6="✔ Match"),"✔ OK","⚠ Review")</f>
        <v>⚠ Review</v>
      </c>
      <c r="K6" s="85" t="s">
        <v>151</v>
      </c>
    </row>
    <row r="7" customFormat="false" ht="19.5" hidden="false" customHeight="true" outlineLevel="0" collapsed="false">
      <c r="A7" s="45" t="s">
        <v>42</v>
      </c>
      <c r="B7" s="45" t="s">
        <v>44</v>
      </c>
      <c r="C7" s="45" t="s">
        <v>43</v>
      </c>
      <c r="D7" s="46" t="n">
        <v>1000</v>
      </c>
      <c r="E7" s="60" t="n">
        <v>1000</v>
      </c>
      <c r="F7" s="84" t="str">
        <f aca="false">IF(D7=E7,"✔ Match","✘ Mismatch")</f>
        <v>✔ Match</v>
      </c>
      <c r="G7" s="46" t="n">
        <v>500000</v>
      </c>
      <c r="H7" s="60" t="n">
        <v>480000</v>
      </c>
      <c r="I7" s="84" t="str">
        <f aca="false">IF(G7=H7,"✔ Match","✘ Mismatch")</f>
        <v>✘ Mismatch</v>
      </c>
      <c r="J7" s="84" t="str">
        <f aca="false">IF(AND(F7="✔ Match",I7="✔ Match"),"✔ OK","⚠ Review")</f>
        <v>⚠ Review</v>
      </c>
      <c r="K7" s="85" t="s">
        <v>152</v>
      </c>
    </row>
    <row r="8" customFormat="false" ht="19.5" hidden="false" customHeight="true" outlineLevel="0" collapsed="false">
      <c r="A8" s="45" t="s">
        <v>52</v>
      </c>
      <c r="B8" s="45" t="s">
        <v>53</v>
      </c>
      <c r="C8" s="45" t="s">
        <v>19</v>
      </c>
      <c r="D8" s="46" t="n">
        <v>800</v>
      </c>
      <c r="E8" s="60" t="n">
        <v>800</v>
      </c>
      <c r="F8" s="84" t="str">
        <f aca="false">IF(D8=E8,"✔ Match","✘ Mismatch")</f>
        <v>✔ Match</v>
      </c>
      <c r="G8" s="46" t="n">
        <v>400000</v>
      </c>
      <c r="H8" s="60" t="n">
        <v>400000</v>
      </c>
      <c r="I8" s="84" t="str">
        <f aca="false">IF(G8=H8,"✔ Match","✘ Mismatch")</f>
        <v>✔ Match</v>
      </c>
      <c r="J8" s="84" t="str">
        <f aca="false">IF(AND(F8="✔ Match",I8="✔ Match"),"✔ OK","⚠ Review")</f>
        <v>✔ OK</v>
      </c>
      <c r="K8" s="85"/>
    </row>
    <row r="9" customFormat="false" ht="19.5" hidden="false" customHeight="true" outlineLevel="0" collapsed="false">
      <c r="A9" s="45" t="s">
        <v>69</v>
      </c>
      <c r="B9" s="45" t="s">
        <v>71</v>
      </c>
      <c r="C9" s="45" t="s">
        <v>70</v>
      </c>
      <c r="D9" s="46" t="n">
        <v>1900</v>
      </c>
      <c r="E9" s="60" t="n">
        <v>2350</v>
      </c>
      <c r="F9" s="84" t="str">
        <f aca="false">IF(D9=E9,"✔ Match","✘ Mismatch")</f>
        <v>✘ Mismatch</v>
      </c>
      <c r="G9" s="46" t="n">
        <v>950000</v>
      </c>
      <c r="H9" s="60" t="n">
        <v>950000</v>
      </c>
      <c r="I9" s="84" t="str">
        <f aca="false">IF(G9=H9,"✔ Match","✘ Mismatch")</f>
        <v>✔ Match</v>
      </c>
      <c r="J9" s="84" t="str">
        <f aca="false">IF(AND(F9="✔ Match",I9="✔ Match"),"✔ OK","⚠ Review")</f>
        <v>⚠ Review</v>
      </c>
      <c r="K9" s="85" t="s">
        <v>153</v>
      </c>
    </row>
    <row r="10" customFormat="false" ht="19.5" hidden="false" customHeight="true" outlineLevel="0" collapsed="false">
      <c r="A10" s="45" t="s">
        <v>74</v>
      </c>
      <c r="B10" s="45" t="s">
        <v>75</v>
      </c>
      <c r="C10" s="45" t="s">
        <v>19</v>
      </c>
      <c r="D10" s="46" t="n">
        <v>350</v>
      </c>
      <c r="E10" s="60" t="n">
        <v>350</v>
      </c>
      <c r="F10" s="84" t="str">
        <f aca="false">IF(D10=E10,"✔ Match","✘ Mismatch")</f>
        <v>✔ Match</v>
      </c>
      <c r="G10" s="46" t="n">
        <v>175000</v>
      </c>
      <c r="H10" s="60" t="n">
        <v>175000</v>
      </c>
      <c r="I10" s="84" t="str">
        <f aca="false">IF(G10=H10,"✔ Match","✘ Mismatch")</f>
        <v>✔ Match</v>
      </c>
      <c r="J10" s="84" t="str">
        <f aca="false">IF(AND(F10="✔ Match",I10="✔ Match"),"✔ OK","⚠ Review")</f>
        <v>✔ OK</v>
      </c>
      <c r="K10" s="85"/>
    </row>
    <row r="11" customFormat="false" ht="19.5" hidden="false" customHeight="true" outlineLevel="0" collapsed="false">
      <c r="A11" s="45" t="s">
        <v>86</v>
      </c>
      <c r="B11" s="45" t="s">
        <v>87</v>
      </c>
      <c r="C11" s="45" t="s">
        <v>43</v>
      </c>
      <c r="D11" s="46" t="n">
        <v>440</v>
      </c>
      <c r="E11" s="60" t="n">
        <v>440</v>
      </c>
      <c r="F11" s="84" t="str">
        <f aca="false">IF(D11=E11,"✔ Match","✘ Mismatch")</f>
        <v>✔ Match</v>
      </c>
      <c r="G11" s="46" t="n">
        <v>220000</v>
      </c>
      <c r="H11" s="60" t="n">
        <v>220000</v>
      </c>
      <c r="I11" s="84" t="str">
        <f aca="false">IF(G11=H11,"✔ Match","✘ Mismatch")</f>
        <v>✔ Match</v>
      </c>
      <c r="J11" s="84" t="str">
        <f aca="false">IF(AND(F11="✔ Match",I11="✔ Match"),"✔ OK","⚠ Review")</f>
        <v>✔ OK</v>
      </c>
      <c r="K11" s="85"/>
    </row>
    <row r="12" customFormat="false" ht="19.5" hidden="false" customHeight="true" outlineLevel="0" collapsed="false">
      <c r="A12" s="45" t="s">
        <v>90</v>
      </c>
      <c r="B12" s="45" t="s">
        <v>91</v>
      </c>
      <c r="C12" s="45" t="s">
        <v>48</v>
      </c>
      <c r="D12" s="46" t="n">
        <v>0</v>
      </c>
      <c r="E12" s="60" t="n">
        <v>150</v>
      </c>
      <c r="F12" s="84" t="str">
        <f aca="false">IF(D12=E12,"✔ Match","✘ Mismatch")</f>
        <v>✘ Mismatch</v>
      </c>
      <c r="G12" s="46" t="n">
        <v>90000</v>
      </c>
      <c r="H12" s="60" t="n">
        <v>90000</v>
      </c>
      <c r="I12" s="84" t="str">
        <f aca="false">IF(G12=H12,"✔ Match","✘ Mismatch")</f>
        <v>✔ Match</v>
      </c>
      <c r="J12" s="84" t="str">
        <f aca="false">IF(AND(F12="✔ Match",I12="✔ Match"),"✔ OK","⚠ Review")</f>
        <v>⚠ Review</v>
      </c>
      <c r="K12" s="85" t="s">
        <v>154</v>
      </c>
    </row>
    <row r="13" customFormat="false" ht="19.5" hidden="false" customHeight="true" outlineLevel="0" collapsed="false">
      <c r="A13" s="45" t="s">
        <v>102</v>
      </c>
      <c r="B13" s="45" t="s">
        <v>103</v>
      </c>
      <c r="C13" s="45" t="s">
        <v>70</v>
      </c>
      <c r="D13" s="46" t="n">
        <v>1120</v>
      </c>
      <c r="E13" s="60" t="n">
        <v>1120</v>
      </c>
      <c r="F13" s="84" t="str">
        <f aca="false">IF(D13=E13,"✔ Match","✘ Mismatch")</f>
        <v>✔ Match</v>
      </c>
      <c r="G13" s="46" t="n">
        <v>560000</v>
      </c>
      <c r="H13" s="60" t="n">
        <v>620000</v>
      </c>
      <c r="I13" s="84" t="str">
        <f aca="false">IF(G13=H13,"✔ Match","✘ Mismatch")</f>
        <v>✘ Mismatch</v>
      </c>
      <c r="J13" s="84" t="str">
        <f aca="false">IF(AND(F13="✔ Match",I13="✔ Match"),"✔ OK","⚠ Review")</f>
        <v>⚠ Review</v>
      </c>
      <c r="K13" s="85" t="s">
        <v>155</v>
      </c>
    </row>
    <row r="14" customFormat="false" ht="19.5" hidden="false" customHeight="true" outlineLevel="0" collapsed="false">
      <c r="A14" s="45" t="s">
        <v>110</v>
      </c>
      <c r="B14" s="45" t="s">
        <v>111</v>
      </c>
      <c r="C14" s="45" t="s">
        <v>19</v>
      </c>
      <c r="D14" s="46" t="n">
        <v>620</v>
      </c>
      <c r="E14" s="60" t="n">
        <v>620</v>
      </c>
      <c r="F14" s="84" t="str">
        <f aca="false">IF(D14=E14,"✔ Match","✘ Mismatch")</f>
        <v>✔ Match</v>
      </c>
      <c r="G14" s="46" t="n">
        <v>310000</v>
      </c>
      <c r="H14" s="60" t="n">
        <v>310000</v>
      </c>
      <c r="I14" s="84" t="str">
        <f aca="false">IF(G14=H14,"✔ Match","✘ Mismatch")</f>
        <v>✔ Match</v>
      </c>
      <c r="J14" s="84" t="str">
        <f aca="false">IF(AND(F14="✔ Match",I14="✔ Match"),"✔ OK","⚠ Review")</f>
        <v>✔ OK</v>
      </c>
      <c r="K14" s="85" t="s">
        <v>156</v>
      </c>
    </row>
    <row r="15" customFormat="false" ht="19.5" hidden="false" customHeight="true" outlineLevel="0" collapsed="false">
      <c r="A15" s="45" t="s">
        <v>114</v>
      </c>
      <c r="B15" s="45" t="s">
        <v>115</v>
      </c>
      <c r="C15" s="45" t="s">
        <v>28</v>
      </c>
      <c r="D15" s="46" t="n">
        <v>2425</v>
      </c>
      <c r="E15" s="60" t="n">
        <v>2425</v>
      </c>
      <c r="F15" s="84" t="str">
        <f aca="false">IF(D15=E15,"✔ Match","✘ Mismatch")</f>
        <v>✔ Match</v>
      </c>
      <c r="G15" s="46" t="n">
        <v>970000</v>
      </c>
      <c r="H15" s="60" t="n">
        <v>900000</v>
      </c>
      <c r="I15" s="84" t="str">
        <f aca="false">IF(G15=H15,"✔ Match","✘ Mismatch")</f>
        <v>✘ Mismatch</v>
      </c>
      <c r="J15" s="84" t="str">
        <f aca="false">IF(AND(F15="✔ Match",I15="✔ Match"),"✔ OK","⚠ Review")</f>
        <v>⚠ Review</v>
      </c>
      <c r="K15" s="85" t="s">
        <v>157</v>
      </c>
    </row>
    <row r="17" customFormat="false" ht="15" hidden="false" customHeight="true" outlineLevel="0" collapsed="false">
      <c r="A17" s="31" t="s">
        <v>158</v>
      </c>
      <c r="B17" s="31"/>
      <c r="C17" s="31"/>
      <c r="D17" s="86" t="n">
        <f aca="false">SUM(D5:D15)</f>
        <v>11555</v>
      </c>
      <c r="E17" s="87" t="n">
        <f aca="false">SUM(E5:E15)</f>
        <v>12355</v>
      </c>
      <c r="F17" s="88" t="str">
        <f aca="false">COUNTIF(F5:F15,"✘ Mismatch")&amp;" Discrepancies Found"</f>
        <v>3 Discrepancies Found</v>
      </c>
      <c r="G17" s="88"/>
      <c r="H17" s="88"/>
      <c r="I17" s="88"/>
      <c r="J17" s="88"/>
      <c r="K17" s="88"/>
    </row>
  </sheetData>
  <mergeCells count="5">
    <mergeCell ref="A1:K1"/>
    <mergeCell ref="A2:K2"/>
    <mergeCell ref="A3:K3"/>
    <mergeCell ref="A17:C17"/>
    <mergeCell ref="F17:K17"/>
  </mergeCells>
  <conditionalFormatting sqref="F5:F15">
    <cfRule type="cellIs" priority="2" operator="notEqual" aboveAverage="0" equalAverage="0" bottom="0" percent="0" rank="0" text="" dxfId="0">
      <formula>"✔ Match"</formula>
    </cfRule>
  </conditionalFormatting>
  <conditionalFormatting sqref="I5:I15">
    <cfRule type="cellIs" priority="3" operator="notEqual" aboveAverage="0" equalAverage="0" bottom="0" percent="0" rank="0" text="" dxfId="0">
      <formula>"✔ Match"</formula>
    </cfRule>
  </conditionalFormatting>
  <conditionalFormatting sqref="J5:J15">
    <cfRule type="cellIs" priority="4" operator="equal" aboveAverage="0" equalAverage="0" bottom="0" percent="0" rank="0" text="" dxfId="1">
      <formula>"✔ OK"</formula>
    </cfRule>
    <cfRule type="cellIs" priority="5" operator="notEqual" aboveAverage="0" equalAverage="0" bottom="0" percent="0" rank="0" text="" dxfId="0">
      <formula>"✔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81" t="s">
        <v>159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customFormat="false" ht="18" hidden="false" customHeight="true" outlineLevel="0" collapsed="false">
      <c r="A2" s="30" t="s">
        <v>160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customFormat="false" ht="30" hidden="false" customHeight="true" outlineLevel="0" collapsed="false">
      <c r="A3" s="83" t="s">
        <v>161</v>
      </c>
      <c r="B3" s="83" t="s">
        <v>162</v>
      </c>
      <c r="C3" s="83" t="s">
        <v>163</v>
      </c>
      <c r="D3" s="83" t="s">
        <v>164</v>
      </c>
      <c r="E3" s="83" t="s">
        <v>165</v>
      </c>
      <c r="F3" s="83" t="s">
        <v>166</v>
      </c>
      <c r="G3" s="83" t="s">
        <v>13</v>
      </c>
      <c r="H3" s="83" t="s">
        <v>167</v>
      </c>
      <c r="I3" s="83" t="s">
        <v>168</v>
      </c>
      <c r="J3" s="83" t="s">
        <v>169</v>
      </c>
      <c r="K3" s="83" t="s">
        <v>12</v>
      </c>
      <c r="L3" s="83" t="s">
        <v>170</v>
      </c>
    </row>
    <row r="4" customFormat="false" ht="19.5" hidden="false" customHeight="true" outlineLevel="0" collapsed="false">
      <c r="A4" s="64" t="s">
        <v>171</v>
      </c>
      <c r="B4" s="89" t="n">
        <v>45708</v>
      </c>
      <c r="C4" s="90" t="s">
        <v>172</v>
      </c>
      <c r="D4" s="90" t="s">
        <v>173</v>
      </c>
      <c r="E4" s="64" t="s">
        <v>18</v>
      </c>
      <c r="F4" s="64" t="s">
        <v>22</v>
      </c>
      <c r="G4" s="64" t="s">
        <v>24</v>
      </c>
      <c r="H4" s="89" t="n">
        <v>45708</v>
      </c>
      <c r="I4" s="64" t="n">
        <f aca="false">IFERROR(IF(H4="","—",H4-B4),"—")</f>
        <v>0</v>
      </c>
      <c r="J4" s="90"/>
      <c r="K4" s="64" t="s">
        <v>39</v>
      </c>
      <c r="L4" s="64" t="s">
        <v>174</v>
      </c>
    </row>
    <row r="5" customFormat="false" ht="19.5" hidden="false" customHeight="true" outlineLevel="0" collapsed="false">
      <c r="A5" s="74" t="s">
        <v>175</v>
      </c>
      <c r="B5" s="75" t="n">
        <v>45709</v>
      </c>
      <c r="C5" s="91" t="s">
        <v>176</v>
      </c>
      <c r="D5" s="91" t="s">
        <v>177</v>
      </c>
      <c r="E5" s="74" t="s">
        <v>27</v>
      </c>
      <c r="F5" s="74" t="s">
        <v>31</v>
      </c>
      <c r="G5" s="74" t="s">
        <v>24</v>
      </c>
      <c r="H5" s="75" t="n">
        <v>45710</v>
      </c>
      <c r="I5" s="74" t="n">
        <f aca="false">IFERROR(IF(H5="","—",H5-B5),"—")</f>
        <v>1</v>
      </c>
      <c r="J5" s="91"/>
      <c r="K5" s="74" t="s">
        <v>136</v>
      </c>
      <c r="L5" s="74" t="s">
        <v>178</v>
      </c>
    </row>
    <row r="6" customFormat="false" ht="19.5" hidden="false" customHeight="true" outlineLevel="0" collapsed="false">
      <c r="A6" s="64" t="s">
        <v>179</v>
      </c>
      <c r="B6" s="89" t="n">
        <v>45710</v>
      </c>
      <c r="C6" s="90" t="s">
        <v>180</v>
      </c>
      <c r="D6" s="90" t="s">
        <v>181</v>
      </c>
      <c r="E6" s="64" t="s">
        <v>34</v>
      </c>
      <c r="F6" s="64" t="s">
        <v>38</v>
      </c>
      <c r="G6" s="64" t="s">
        <v>40</v>
      </c>
      <c r="H6" s="89" t="n">
        <v>45711</v>
      </c>
      <c r="I6" s="64" t="n">
        <f aca="false">IFERROR(IF(H6="","—",H6-B6),"—")</f>
        <v>1</v>
      </c>
      <c r="J6" s="90"/>
      <c r="K6" s="64" t="s">
        <v>39</v>
      </c>
      <c r="L6" s="64" t="s">
        <v>174</v>
      </c>
    </row>
    <row r="7" customFormat="false" ht="19.5" hidden="false" customHeight="true" outlineLevel="0" collapsed="false">
      <c r="A7" s="92" t="s">
        <v>182</v>
      </c>
      <c r="B7" s="93" t="n">
        <v>45711</v>
      </c>
      <c r="C7" s="94" t="s">
        <v>183</v>
      </c>
      <c r="D7" s="94" t="s">
        <v>184</v>
      </c>
      <c r="E7" s="92" t="s">
        <v>42</v>
      </c>
      <c r="F7" s="92" t="s">
        <v>22</v>
      </c>
      <c r="G7" s="92" t="s">
        <v>24</v>
      </c>
      <c r="H7" s="93" t="n">
        <v>45712</v>
      </c>
      <c r="I7" s="92" t="n">
        <f aca="false">IFERROR(IF(H7="","—",H7-B7),"—")</f>
        <v>1</v>
      </c>
      <c r="J7" s="94"/>
      <c r="K7" s="92" t="s">
        <v>23</v>
      </c>
      <c r="L7" s="92" t="s">
        <v>185</v>
      </c>
    </row>
    <row r="8" customFormat="false" ht="19.5" hidden="false" customHeight="true" outlineLevel="0" collapsed="false">
      <c r="A8" s="64" t="s">
        <v>186</v>
      </c>
      <c r="B8" s="89" t="n">
        <v>45711</v>
      </c>
      <c r="C8" s="90" t="s">
        <v>187</v>
      </c>
      <c r="D8" s="90" t="s">
        <v>188</v>
      </c>
      <c r="E8" s="64" t="s">
        <v>47</v>
      </c>
      <c r="F8" s="64" t="s">
        <v>31</v>
      </c>
      <c r="G8" s="64" t="s">
        <v>40</v>
      </c>
      <c r="H8" s="89" t="n">
        <v>45712</v>
      </c>
      <c r="I8" s="64" t="n">
        <f aca="false">IFERROR(IF(H8="","—",H8-B8),"—")</f>
        <v>1</v>
      </c>
      <c r="J8" s="90"/>
      <c r="K8" s="64" t="s">
        <v>39</v>
      </c>
      <c r="L8" s="64" t="s">
        <v>174</v>
      </c>
    </row>
    <row r="9" customFormat="false" ht="19.5" hidden="false" customHeight="true" outlineLevel="0" collapsed="false">
      <c r="A9" s="92" t="s">
        <v>189</v>
      </c>
      <c r="B9" s="93" t="n">
        <v>45713</v>
      </c>
      <c r="C9" s="94" t="s">
        <v>190</v>
      </c>
      <c r="D9" s="94" t="s">
        <v>191</v>
      </c>
      <c r="E9" s="92" t="s">
        <v>52</v>
      </c>
      <c r="F9" s="92" t="s">
        <v>55</v>
      </c>
      <c r="G9" s="92" t="s">
        <v>40</v>
      </c>
      <c r="H9" s="93" t="n">
        <v>45714</v>
      </c>
      <c r="I9" s="92" t="n">
        <f aca="false">IFERROR(IF(H9="","—",H9-B9),"—")</f>
        <v>1</v>
      </c>
      <c r="J9" s="94"/>
      <c r="K9" s="92" t="s">
        <v>23</v>
      </c>
      <c r="L9" s="92" t="s">
        <v>174</v>
      </c>
    </row>
    <row r="10" customFormat="false" ht="19.5" hidden="false" customHeight="true" outlineLevel="0" collapsed="false">
      <c r="A10" s="95" t="s">
        <v>192</v>
      </c>
      <c r="B10" s="96" t="n">
        <v>45713</v>
      </c>
      <c r="C10" s="97" t="s">
        <v>59</v>
      </c>
      <c r="D10" s="97" t="s">
        <v>193</v>
      </c>
      <c r="E10" s="95" t="s">
        <v>58</v>
      </c>
      <c r="F10" s="95" t="s">
        <v>38</v>
      </c>
      <c r="G10" s="95" t="s">
        <v>24</v>
      </c>
      <c r="H10" s="96" t="n">
        <v>45713</v>
      </c>
      <c r="I10" s="95" t="n">
        <f aca="false">IFERROR(IF(H10="","—",H10-B10),"—")</f>
        <v>0</v>
      </c>
      <c r="J10" s="97"/>
      <c r="K10" s="95" t="s">
        <v>194</v>
      </c>
      <c r="L10" s="95" t="s">
        <v>195</v>
      </c>
    </row>
    <row r="11" customFormat="false" ht="19.5" hidden="false" customHeight="true" outlineLevel="0" collapsed="false">
      <c r="A11" s="92" t="s">
        <v>196</v>
      </c>
      <c r="B11" s="93" t="n">
        <v>45714</v>
      </c>
      <c r="C11" s="94" t="s">
        <v>197</v>
      </c>
      <c r="D11" s="94" t="s">
        <v>198</v>
      </c>
      <c r="E11" s="92" t="s">
        <v>63</v>
      </c>
      <c r="F11" s="92" t="s">
        <v>55</v>
      </c>
      <c r="G11" s="92" t="s">
        <v>67</v>
      </c>
      <c r="H11" s="93" t="n">
        <v>45715</v>
      </c>
      <c r="I11" s="92" t="n">
        <f aca="false">IFERROR(IF(H11="","—",H11-B11),"—")</f>
        <v>1</v>
      </c>
      <c r="J11" s="94"/>
      <c r="K11" s="92" t="s">
        <v>23</v>
      </c>
      <c r="L11" s="92" t="s">
        <v>174</v>
      </c>
    </row>
    <row r="12" customFormat="false" ht="19.5" hidden="false" customHeight="true" outlineLevel="0" collapsed="false">
      <c r="A12" s="92" t="s">
        <v>199</v>
      </c>
      <c r="B12" s="93" t="n">
        <v>45714</v>
      </c>
      <c r="C12" s="94" t="s">
        <v>200</v>
      </c>
      <c r="D12" s="94" t="s">
        <v>201</v>
      </c>
      <c r="E12" s="92" t="s">
        <v>69</v>
      </c>
      <c r="F12" s="92" t="s">
        <v>22</v>
      </c>
      <c r="G12" s="92" t="s">
        <v>40</v>
      </c>
      <c r="H12" s="93" t="n">
        <v>45715</v>
      </c>
      <c r="I12" s="92" t="n">
        <f aca="false">IFERROR(IF(H12="","—",H12-B12),"—")</f>
        <v>1</v>
      </c>
      <c r="J12" s="94"/>
      <c r="K12" s="92" t="s">
        <v>23</v>
      </c>
      <c r="L12" s="92" t="s">
        <v>174</v>
      </c>
    </row>
    <row r="13" customFormat="false" ht="19.5" hidden="false" customHeight="true" outlineLevel="0" collapsed="false">
      <c r="A13" s="74" t="s">
        <v>202</v>
      </c>
      <c r="B13" s="75" t="n">
        <v>45715</v>
      </c>
      <c r="C13" s="91" t="s">
        <v>75</v>
      </c>
      <c r="D13" s="91" t="s">
        <v>203</v>
      </c>
      <c r="E13" s="74" t="s">
        <v>74</v>
      </c>
      <c r="F13" s="74" t="s">
        <v>31</v>
      </c>
      <c r="G13" s="74" t="s">
        <v>40</v>
      </c>
      <c r="H13" s="75" t="n">
        <v>45715</v>
      </c>
      <c r="I13" s="74" t="n">
        <f aca="false">IFERROR(IF(H13="","—",H13-B13),"—")</f>
        <v>0</v>
      </c>
      <c r="J13" s="91"/>
      <c r="K13" s="74" t="s">
        <v>136</v>
      </c>
      <c r="L13" s="74" t="s">
        <v>204</v>
      </c>
    </row>
    <row r="14" customFormat="false" ht="19.5" hidden="false" customHeight="true" outlineLevel="0" collapsed="false">
      <c r="A14" s="64" t="s">
        <v>205</v>
      </c>
      <c r="B14" s="89" t="n">
        <v>45715</v>
      </c>
      <c r="C14" s="90" t="s">
        <v>206</v>
      </c>
      <c r="D14" s="90" t="s">
        <v>207</v>
      </c>
      <c r="E14" s="64" t="s">
        <v>78</v>
      </c>
      <c r="F14" s="64" t="s">
        <v>38</v>
      </c>
      <c r="G14" s="64" t="s">
        <v>24</v>
      </c>
      <c r="H14" s="89" t="n">
        <v>45715</v>
      </c>
      <c r="I14" s="64" t="n">
        <f aca="false">IFERROR(IF(H14="","—",H14-B14),"—")</f>
        <v>0</v>
      </c>
      <c r="J14" s="90"/>
      <c r="K14" s="64" t="s">
        <v>39</v>
      </c>
      <c r="L14" s="64" t="s">
        <v>174</v>
      </c>
    </row>
    <row r="15" customFormat="false" ht="19.5" hidden="false" customHeight="true" outlineLevel="0" collapsed="false">
      <c r="A15" s="98" t="s">
        <v>208</v>
      </c>
      <c r="B15" s="99" t="n">
        <v>45715</v>
      </c>
      <c r="C15" s="100" t="s">
        <v>83</v>
      </c>
      <c r="D15" s="100" t="s">
        <v>209</v>
      </c>
      <c r="E15" s="98" t="s">
        <v>82</v>
      </c>
      <c r="F15" s="98" t="s">
        <v>55</v>
      </c>
      <c r="G15" s="98" t="s">
        <v>67</v>
      </c>
      <c r="H15" s="100"/>
      <c r="I15" s="98" t="str">
        <f aca="false">IFERROR(IF(H15="","—",H15-B15),"—")</f>
        <v>—</v>
      </c>
      <c r="J15" s="100"/>
      <c r="K15" s="98" t="s">
        <v>56</v>
      </c>
      <c r="L15" s="98" t="s">
        <v>174</v>
      </c>
    </row>
    <row r="16" customFormat="false" ht="19.5" hidden="false" customHeight="true" outlineLevel="0" collapsed="false">
      <c r="A16" s="74" t="s">
        <v>210</v>
      </c>
      <c r="B16" s="75" t="n">
        <v>45716</v>
      </c>
      <c r="C16" s="91" t="s">
        <v>88</v>
      </c>
      <c r="D16" s="91" t="s">
        <v>211</v>
      </c>
      <c r="E16" s="74" t="s">
        <v>86</v>
      </c>
      <c r="F16" s="74" t="s">
        <v>22</v>
      </c>
      <c r="G16" s="74" t="s">
        <v>24</v>
      </c>
      <c r="H16" s="91"/>
      <c r="I16" s="74" t="str">
        <f aca="false">IFERROR(IF(H16="","—",H16-B16),"—")</f>
        <v>—</v>
      </c>
      <c r="J16" s="91"/>
      <c r="K16" s="74" t="s">
        <v>136</v>
      </c>
      <c r="L16" s="74" t="s">
        <v>212</v>
      </c>
    </row>
    <row r="17" customFormat="false" ht="19.5" hidden="false" customHeight="true" outlineLevel="0" collapsed="false">
      <c r="A17" s="92" t="s">
        <v>213</v>
      </c>
      <c r="B17" s="93" t="n">
        <v>45716</v>
      </c>
      <c r="C17" s="94" t="s">
        <v>91</v>
      </c>
      <c r="D17" s="94" t="s">
        <v>214</v>
      </c>
      <c r="E17" s="92" t="s">
        <v>90</v>
      </c>
      <c r="F17" s="92" t="s">
        <v>31</v>
      </c>
      <c r="G17" s="92" t="s">
        <v>40</v>
      </c>
      <c r="H17" s="94"/>
      <c r="I17" s="92" t="str">
        <f aca="false">IFERROR(IF(H17="","—",H17-B17),"—")</f>
        <v>—</v>
      </c>
      <c r="J17" s="94"/>
      <c r="K17" s="92" t="s">
        <v>23</v>
      </c>
      <c r="L17" s="92" t="s">
        <v>174</v>
      </c>
    </row>
    <row r="18" customFormat="false" ht="19.5" hidden="false" customHeight="true" outlineLevel="0" collapsed="false">
      <c r="A18" s="98" t="s">
        <v>215</v>
      </c>
      <c r="B18" s="99" t="n">
        <v>45716</v>
      </c>
      <c r="C18" s="100" t="s">
        <v>95</v>
      </c>
      <c r="D18" s="100" t="s">
        <v>216</v>
      </c>
      <c r="E18" s="98" t="s">
        <v>94</v>
      </c>
      <c r="F18" s="98" t="s">
        <v>38</v>
      </c>
      <c r="G18" s="98" t="s">
        <v>67</v>
      </c>
      <c r="H18" s="100"/>
      <c r="I18" s="98" t="str">
        <f aca="false">IFERROR(IF(H18="","—",H18-B18),"—")</f>
        <v>—</v>
      </c>
      <c r="J18" s="100"/>
      <c r="K18" s="98" t="s">
        <v>56</v>
      </c>
      <c r="L18" s="98" t="s">
        <v>174</v>
      </c>
    </row>
  </sheetData>
  <mergeCells count="2">
    <mergeCell ref="A1:L1"/>
    <mergeCell ref="A2:L2"/>
  </mergeCells>
  <conditionalFormatting sqref="K4:K18">
    <cfRule type="cellIs" priority="2" operator="equal" aboveAverage="0" equalAverage="0" bottom="0" percent="0" rank="0" text="" dxfId="0">
      <formula>"Escalated"</formula>
    </cfRule>
    <cfRule type="cellIs" priority="3" operator="equal" aboveAverage="0" equalAverage="0" bottom="0" percent="0" rank="0" text="" dxfId="1">
      <formula>"Completed"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81" t="s">
        <v>217</v>
      </c>
      <c r="B1" s="81"/>
      <c r="C1" s="81"/>
      <c r="D1" s="81"/>
      <c r="E1" s="81"/>
      <c r="F1" s="81"/>
      <c r="G1" s="81"/>
      <c r="H1" s="81"/>
    </row>
    <row r="2" customFormat="false" ht="7.5" hidden="false" customHeight="true" outlineLevel="0" collapsed="false"/>
    <row r="3" customFormat="false" ht="21.75" hidden="false" customHeight="true" outlineLevel="0" collapsed="false">
      <c r="A3" s="101" t="s">
        <v>218</v>
      </c>
      <c r="B3" s="101"/>
      <c r="C3" s="101"/>
      <c r="D3" s="101"/>
      <c r="E3" s="101"/>
      <c r="F3" s="101"/>
      <c r="G3" s="101"/>
      <c r="H3" s="101"/>
    </row>
    <row r="4" customFormat="false" ht="18" hidden="false" customHeight="true" outlineLevel="0" collapsed="false">
      <c r="A4" s="102" t="s">
        <v>219</v>
      </c>
      <c r="B4" s="103" t="s">
        <v>220</v>
      </c>
    </row>
    <row r="5" customFormat="false" ht="18" hidden="false" customHeight="true" outlineLevel="0" collapsed="false">
      <c r="A5" s="102" t="s">
        <v>221</v>
      </c>
      <c r="B5" s="103" t="s">
        <v>222</v>
      </c>
    </row>
    <row r="6" customFormat="false" ht="18" hidden="false" customHeight="true" outlineLevel="0" collapsed="false">
      <c r="A6" s="102" t="s">
        <v>223</v>
      </c>
      <c r="B6" s="103" t="s">
        <v>224</v>
      </c>
    </row>
    <row r="7" customFormat="false" ht="7.5" hidden="false" customHeight="true" outlineLevel="0" collapsed="false"/>
    <row r="8" customFormat="false" ht="21.75" hidden="false" customHeight="true" outlineLevel="0" collapsed="false">
      <c r="A8" s="101" t="s">
        <v>225</v>
      </c>
      <c r="B8" s="101"/>
      <c r="C8" s="101"/>
      <c r="D8" s="101"/>
      <c r="E8" s="101"/>
      <c r="F8" s="101"/>
      <c r="G8" s="101"/>
      <c r="H8" s="101"/>
    </row>
    <row r="9" customFormat="false" ht="18" hidden="false" customHeight="true" outlineLevel="0" collapsed="false">
      <c r="A9" s="102" t="s">
        <v>226</v>
      </c>
      <c r="B9" s="103" t="s">
        <v>227</v>
      </c>
    </row>
    <row r="10" customFormat="false" ht="18" hidden="false" customHeight="true" outlineLevel="0" collapsed="false">
      <c r="A10" s="102" t="s">
        <v>228</v>
      </c>
      <c r="B10" s="103" t="s">
        <v>229</v>
      </c>
    </row>
    <row r="11" customFormat="false" ht="18" hidden="false" customHeight="true" outlineLevel="0" collapsed="false">
      <c r="A11" s="102" t="s">
        <v>230</v>
      </c>
      <c r="B11" s="103" t="s">
        <v>231</v>
      </c>
    </row>
    <row r="12" customFormat="false" ht="18" hidden="false" customHeight="true" outlineLevel="0" collapsed="false">
      <c r="A12" s="102" t="s">
        <v>232</v>
      </c>
      <c r="B12" s="103" t="s">
        <v>233</v>
      </c>
    </row>
    <row r="13" customFormat="false" ht="7.5" hidden="false" customHeight="true" outlineLevel="0" collapsed="false"/>
    <row r="14" customFormat="false" ht="21.75" hidden="false" customHeight="true" outlineLevel="0" collapsed="false">
      <c r="A14" s="101" t="s">
        <v>234</v>
      </c>
      <c r="B14" s="101"/>
      <c r="C14" s="101"/>
      <c r="D14" s="101"/>
      <c r="E14" s="101"/>
      <c r="F14" s="101"/>
      <c r="G14" s="101"/>
      <c r="H14" s="101"/>
    </row>
    <row r="15" customFormat="false" ht="18" hidden="false" customHeight="true" outlineLevel="0" collapsed="false">
      <c r="A15" s="102" t="s">
        <v>235</v>
      </c>
      <c r="B15" s="103" t="s">
        <v>236</v>
      </c>
    </row>
    <row r="16" customFormat="false" ht="18" hidden="false" customHeight="true" outlineLevel="0" collapsed="false">
      <c r="A16" s="102" t="s">
        <v>237</v>
      </c>
      <c r="B16" s="103" t="s">
        <v>238</v>
      </c>
    </row>
    <row r="17" customFormat="false" ht="18" hidden="false" customHeight="true" outlineLevel="0" collapsed="false">
      <c r="A17" s="102" t="s">
        <v>239</v>
      </c>
      <c r="B17" s="103" t="s">
        <v>240</v>
      </c>
    </row>
    <row r="18" customFormat="false" ht="18" hidden="false" customHeight="true" outlineLevel="0" collapsed="false">
      <c r="A18" s="102" t="s">
        <v>241</v>
      </c>
      <c r="B18" s="103" t="s">
        <v>242</v>
      </c>
    </row>
    <row r="19" customFormat="false" ht="18" hidden="false" customHeight="true" outlineLevel="0" collapsed="false">
      <c r="A19" s="102" t="s">
        <v>243</v>
      </c>
      <c r="B19" s="103" t="s">
        <v>244</v>
      </c>
    </row>
    <row r="20" customFormat="false" ht="7.5" hidden="false" customHeight="true" outlineLevel="0" collapsed="false"/>
    <row r="21" customFormat="false" ht="21.75" hidden="false" customHeight="true" outlineLevel="0" collapsed="false">
      <c r="A21" s="101" t="s">
        <v>245</v>
      </c>
      <c r="B21" s="101"/>
      <c r="C21" s="101"/>
      <c r="D21" s="101"/>
      <c r="E21" s="101"/>
      <c r="F21" s="101"/>
      <c r="G21" s="101"/>
      <c r="H21" s="101"/>
    </row>
    <row r="22" customFormat="false" ht="18" hidden="false" customHeight="true" outlineLevel="0" collapsed="false">
      <c r="A22" s="102" t="s">
        <v>246</v>
      </c>
      <c r="B22" s="103" t="s">
        <v>247</v>
      </c>
    </row>
    <row r="23" customFormat="false" ht="18" hidden="false" customHeight="true" outlineLevel="0" collapsed="false">
      <c r="A23" s="102" t="s">
        <v>248</v>
      </c>
      <c r="B23" s="103" t="s">
        <v>249</v>
      </c>
    </row>
    <row r="24" customFormat="false" ht="18" hidden="false" customHeight="true" outlineLevel="0" collapsed="false">
      <c r="A24" s="102" t="s">
        <v>250</v>
      </c>
      <c r="B24" s="103" t="s">
        <v>251</v>
      </c>
    </row>
    <row r="25" customFormat="false" ht="18" hidden="false" customHeight="true" outlineLevel="0" collapsed="false">
      <c r="A25" s="102" t="s">
        <v>252</v>
      </c>
      <c r="B25" s="103" t="s">
        <v>253</v>
      </c>
    </row>
    <row r="26" customFormat="false" ht="7.5" hidden="false" customHeight="true" outlineLevel="0" collapsed="false"/>
    <row r="27" customFormat="false" ht="21.75" hidden="false" customHeight="true" outlineLevel="0" collapsed="false">
      <c r="A27" s="101" t="s">
        <v>254</v>
      </c>
      <c r="B27" s="101"/>
      <c r="C27" s="101"/>
      <c r="D27" s="101"/>
      <c r="E27" s="101"/>
      <c r="F27" s="101"/>
      <c r="G27" s="101"/>
      <c r="H27" s="101"/>
    </row>
    <row r="28" customFormat="false" ht="18" hidden="false" customHeight="true" outlineLevel="0" collapsed="false">
      <c r="A28" s="102" t="s">
        <v>255</v>
      </c>
      <c r="B28" s="103" t="s">
        <v>256</v>
      </c>
    </row>
    <row r="29" customFormat="false" ht="18" hidden="false" customHeight="true" outlineLevel="0" collapsed="false">
      <c r="A29" s="102" t="s">
        <v>257</v>
      </c>
      <c r="B29" s="103" t="s">
        <v>258</v>
      </c>
    </row>
    <row r="30" customFormat="false" ht="18" hidden="false" customHeight="true" outlineLevel="0" collapsed="false">
      <c r="A30" s="102" t="s">
        <v>259</v>
      </c>
      <c r="B30" s="103" t="s">
        <v>260</v>
      </c>
    </row>
    <row r="31" customFormat="false" ht="18" hidden="false" customHeight="true" outlineLevel="0" collapsed="false">
      <c r="A31" s="102" t="s">
        <v>261</v>
      </c>
      <c r="B31" s="103" t="s">
        <v>262</v>
      </c>
    </row>
    <row r="32" customFormat="false" ht="18" hidden="false" customHeight="true" outlineLevel="0" collapsed="false">
      <c r="A32" s="102" t="s">
        <v>263</v>
      </c>
      <c r="B32" s="103" t="s">
        <v>264</v>
      </c>
    </row>
    <row r="33" customFormat="false" ht="18" hidden="false" customHeight="true" outlineLevel="0" collapsed="false">
      <c r="A33" s="102" t="s">
        <v>265</v>
      </c>
      <c r="B33" s="103" t="s">
        <v>266</v>
      </c>
    </row>
  </sheetData>
  <mergeCells count="6">
    <mergeCell ref="A1:H1"/>
    <mergeCell ref="A3:H3"/>
    <mergeCell ref="A8:H8"/>
    <mergeCell ref="A14:H14"/>
    <mergeCell ref="A21:H21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2026-02-28T17:11:19Z</dcterms:created>
  <dc:creator>openpyxl</dc:creator>
  <dc:description/>
  <dc:language>en-US</dc:language>
  <cp:lastModifiedBy/>
  <dcterms:modified xsi:type="dcterms:W3CDTF">2026-02-28T17:11:19Z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